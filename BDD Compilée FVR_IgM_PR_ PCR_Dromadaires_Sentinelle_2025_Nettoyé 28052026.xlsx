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es Donnees\Mes documents\RIFT\SENEGAL\Epidémie 2025\Mauritanie Epidémie 2025\"/>
    </mc:Choice>
  </mc:AlternateContent>
  <xr:revisionPtr revIDLastSave="0" documentId="13_ncr:1_{DA90AD8F-74D6-408B-82BE-308E9E176C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imal_IgM_PCR_FVR_2025" sheetId="1" r:id="rId1"/>
    <sheet name="Human_Animal cases per Wilaya" sheetId="2" r:id="rId2"/>
    <sheet name="Human PCR FVR 2025" sheetId="4" r:id="rId3"/>
  </sheets>
  <definedNames>
    <definedName name="_xlnm._FilterDatabase" localSheetId="0" hidden="1">Animal_IgM_PCR_FVR_2025!$A$1:$R$116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4" l="1"/>
  <c r="F32" i="2"/>
  <c r="E32" i="2"/>
  <c r="D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CETRE-SOSSAH</author>
  </authors>
  <commentList>
    <comment ref="H37" authorId="0" shapeId="0" xr:uid="{5E2904C9-4E67-4A55-B4ED-3A9CF7ABDD16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Kaedi, Mbout, Mbagama, ou  Monguel</t>
        </r>
      </text>
    </comment>
    <comment ref="H38" authorId="0" shapeId="0" xr:uid="{49037FF3-E69B-466E-8C25-CFCA619124A7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SOSSAH:
Kaedi, Mbout, Mbagama, ou  Mongue</t>
        </r>
      </text>
    </comment>
    <comment ref="H92" authorId="0" shapeId="0" xr:uid="{64BE67B8-7F17-413A-869E-642D89634554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Nouakhott ?</t>
        </r>
      </text>
    </comment>
    <comment ref="H97" authorId="0" shapeId="0" xr:uid="{65E36936-66DB-4645-AF6B-104B28DBDDC0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Nouackchott,</t>
        </r>
      </text>
    </comment>
    <comment ref="I112" authorId="0" shapeId="0" xr:uid="{CAC280CF-7194-4252-90B6-8F420358D04C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Chgare, il y a 2 troupeaux indiques sur 2 lignes différentes, ela compte pour 1 seul foyer</t>
        </r>
      </text>
    </comment>
    <comment ref="H114" authorId="0" shapeId="0" xr:uid="{97C73537-91E7-4CA0-B624-EDE7EC2F745B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Ould Yengé ou Selibaly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CETRE-SOSSAH</author>
  </authors>
  <commentList>
    <comment ref="E21" authorId="0" shapeId="0" xr:uid="{EA556FC0-6AA4-4A7E-B7B6-B1A04F711AD5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Tachouatt initialement ds le fichier, mais appel avec Inspecteur de la Santé, c'est Baghdada à 16 km de Rkiz finalement</t>
        </r>
      </text>
    </comment>
    <comment ref="E24" authorId="0" shapeId="0" xr:uid="{9AD0CA82-2EBF-4C3E-B40F-DD135EA38549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17°45’51’’ N
13°38’15’’ W</t>
        </r>
      </text>
    </comment>
    <comment ref="E32" authorId="0" shapeId="0" xr:uid="{B79CD7B0-994C-405F-A460-9A3B21095E12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Latitude : 17,51893°
Longitude : -13,08465°</t>
        </r>
      </text>
    </comment>
    <comment ref="E44" authorId="0" shapeId="0" xr:uid="{0290F421-2E92-48BF-AC2C-56A1BE35E0C3}">
      <text>
        <r>
          <rPr>
            <b/>
            <sz val="9"/>
            <color indexed="81"/>
            <rFont val="Tahoma"/>
            <charset val="1"/>
          </rPr>
          <t>Catherine CETRE-SOSSAH:</t>
        </r>
        <r>
          <rPr>
            <sz val="9"/>
            <color indexed="81"/>
            <rFont val="Tahoma"/>
            <charset val="1"/>
          </rPr>
          <t xml:space="preserve">
Sagatar est un quartier de la ville de Kiffa</t>
        </r>
      </text>
    </comment>
  </commentList>
</comments>
</file>

<file path=xl/sharedStrings.xml><?xml version="1.0" encoding="utf-8"?>
<sst xmlns="http://schemas.openxmlformats.org/spreadsheetml/2006/main" count="1551" uniqueCount="486">
  <si>
    <t>Localité</t>
  </si>
  <si>
    <t>Trarza</t>
  </si>
  <si>
    <t>Assaba</t>
  </si>
  <si>
    <t>Kiffa</t>
  </si>
  <si>
    <t>reference Labo</t>
  </si>
  <si>
    <t>Date recept.</t>
  </si>
  <si>
    <t>Maladie</t>
  </si>
  <si>
    <t>Espece</t>
  </si>
  <si>
    <t>Nbre récu</t>
  </si>
  <si>
    <t>Résultat</t>
  </si>
  <si>
    <t>FVR</t>
  </si>
  <si>
    <t>Gorgol</t>
  </si>
  <si>
    <t>Guidimakha</t>
  </si>
  <si>
    <t>Gouraye</t>
  </si>
  <si>
    <t>Brakna</t>
  </si>
  <si>
    <t>Teyaret</t>
  </si>
  <si>
    <t>Nouadibou</t>
  </si>
  <si>
    <t>Guerou</t>
  </si>
  <si>
    <t>Tagant</t>
  </si>
  <si>
    <t>Rosso</t>
  </si>
  <si>
    <t>Kencha</t>
  </si>
  <si>
    <t>Aleg</t>
  </si>
  <si>
    <t>Ghabou</t>
  </si>
  <si>
    <t>Toujounine</t>
  </si>
  <si>
    <t>El Ghayare</t>
  </si>
  <si>
    <t>Bassiknou</t>
  </si>
  <si>
    <t>Kankossa</t>
  </si>
  <si>
    <t>Selibaby</t>
  </si>
  <si>
    <t>Timbedra</t>
  </si>
  <si>
    <t>Ould Yengé</t>
  </si>
  <si>
    <t>Lexeiba</t>
  </si>
  <si>
    <t>Bambéré Devea</t>
  </si>
  <si>
    <t>Borella</t>
  </si>
  <si>
    <t>Adrar</t>
  </si>
  <si>
    <t>Kiffa/ Tgneilire</t>
  </si>
  <si>
    <t>Almachrou</t>
  </si>
  <si>
    <t>Nema</t>
  </si>
  <si>
    <t>Atar</t>
  </si>
  <si>
    <t>Maghta Lahgar</t>
  </si>
  <si>
    <t>Kobeni</t>
  </si>
  <si>
    <t>Tintane</t>
  </si>
  <si>
    <t>Maghama</t>
  </si>
  <si>
    <t>Hassi Tejekanet</t>
  </si>
  <si>
    <t>Wouro Mbaré</t>
  </si>
  <si>
    <t>Leebelli</t>
  </si>
  <si>
    <t>Bababe</t>
  </si>
  <si>
    <t xml:space="preserve"> </t>
  </si>
  <si>
    <t>Type d'analyse</t>
  </si>
  <si>
    <t>Elisa IgM</t>
  </si>
  <si>
    <t>Nombre de positifs</t>
  </si>
  <si>
    <t>positif</t>
  </si>
  <si>
    <t>NEGATIF</t>
  </si>
  <si>
    <t>POSITIF</t>
  </si>
  <si>
    <t>Pet.rum</t>
  </si>
  <si>
    <t>Ovine</t>
  </si>
  <si>
    <t xml:space="preserve">Caprine  </t>
  </si>
  <si>
    <t>Caprine</t>
  </si>
  <si>
    <t>Bovine</t>
  </si>
  <si>
    <t>Hodh Ech Chargui</t>
  </si>
  <si>
    <t>Hodh El Gharbi</t>
  </si>
  <si>
    <t>X_LONG</t>
  </si>
  <si>
    <t>Y_LAT</t>
  </si>
  <si>
    <t>Region /Wilaya</t>
  </si>
  <si>
    <t>Moughataa</t>
  </si>
  <si>
    <t>Commune</t>
  </si>
  <si>
    <t>R'Kiz</t>
  </si>
  <si>
    <t>Date Pvt</t>
  </si>
  <si>
    <t>Tevragh zeina</t>
  </si>
  <si>
    <t>Nouakchott Ouest</t>
  </si>
  <si>
    <t>PK 6</t>
  </si>
  <si>
    <t>Chegar</t>
  </si>
  <si>
    <t>Lexeiba1</t>
  </si>
  <si>
    <t>Dakhlet Nouadhibou</t>
  </si>
  <si>
    <t>Tiris Zemmour</t>
  </si>
  <si>
    <t>Tidjikdja</t>
  </si>
  <si>
    <t xml:space="preserve">Date d'analyse </t>
  </si>
  <si>
    <t>Kiffa/</t>
  </si>
  <si>
    <t>Barkeol</t>
  </si>
  <si>
    <t>Nouadhibou</t>
  </si>
  <si>
    <t>Bagdad</t>
  </si>
  <si>
    <t>Maghta Lahjar</t>
  </si>
  <si>
    <t>Tachott</t>
  </si>
  <si>
    <t xml:space="preserve"> Maghta Lahjar</t>
  </si>
  <si>
    <t xml:space="preserve"> Sangrava</t>
  </si>
  <si>
    <t xml:space="preserve"> Chegar</t>
  </si>
  <si>
    <t>YolY</t>
  </si>
  <si>
    <t>Sava</t>
  </si>
  <si>
    <t>Kaedi</t>
  </si>
  <si>
    <t xml:space="preserve"> Toufoundé Civé</t>
  </si>
  <si>
    <t>Kaédi</t>
  </si>
  <si>
    <t>Hadad1</t>
  </si>
  <si>
    <t>Minel</t>
  </si>
  <si>
    <t>Devea</t>
  </si>
  <si>
    <t xml:space="preserve"> Medina</t>
  </si>
  <si>
    <t xml:space="preserve"> Sangrave</t>
  </si>
  <si>
    <t>Monguel</t>
  </si>
  <si>
    <t xml:space="preserve">Monguel </t>
  </si>
  <si>
    <t>Dar El Beitha</t>
  </si>
  <si>
    <t>Mbeigherette salem</t>
  </si>
  <si>
    <t>Monguel belediye</t>
  </si>
  <si>
    <t>Oued Naga</t>
  </si>
  <si>
    <t xml:space="preserve"> Alargop</t>
  </si>
  <si>
    <t>Achram</t>
  </si>
  <si>
    <t>Aioune</t>
  </si>
  <si>
    <t xml:space="preserve"> Oum El ghoura</t>
  </si>
  <si>
    <t>Moudjéria</t>
  </si>
  <si>
    <t>Wompou</t>
  </si>
  <si>
    <t>Guerrou</t>
  </si>
  <si>
    <t>Oudey Leemlde</t>
  </si>
  <si>
    <t>Keurmacène</t>
  </si>
  <si>
    <t>Devéa</t>
  </si>
  <si>
    <t>Taskaye</t>
  </si>
  <si>
    <t>Tmbedra</t>
  </si>
  <si>
    <t xml:space="preserve"> Dahara</t>
  </si>
  <si>
    <t>Sangrava</t>
  </si>
  <si>
    <t>Chalet amar</t>
  </si>
  <si>
    <t>Bithioungal 2</t>
  </si>
  <si>
    <t>Boumdeid</t>
  </si>
  <si>
    <t xml:space="preserve">Oudeye Mejboure </t>
  </si>
  <si>
    <t xml:space="preserve">Kankossa </t>
  </si>
  <si>
    <t xml:space="preserve"> Devea</t>
  </si>
  <si>
    <t>Edebay Atar</t>
  </si>
  <si>
    <t>Zoueiratt</t>
  </si>
  <si>
    <t>Tevragh Zeina</t>
  </si>
  <si>
    <t>Ain Ehel Taya</t>
  </si>
  <si>
    <t xml:space="preserve">Tevragh Zeina </t>
  </si>
  <si>
    <t>Tamchekett</t>
  </si>
  <si>
    <t>Chinguetti</t>
  </si>
  <si>
    <t>Dehara</t>
  </si>
  <si>
    <t>Lekhteit</t>
  </si>
  <si>
    <t>Nouakchott Nord</t>
  </si>
  <si>
    <t>18, 07023</t>
  </si>
  <si>
    <t>Boutilimitt</t>
  </si>
  <si>
    <t>Hsey Arr</t>
  </si>
  <si>
    <t>20,53 11424</t>
  </si>
  <si>
    <t>N'Teichet</t>
  </si>
  <si>
    <t>Ijnaoun</t>
  </si>
  <si>
    <t>17.4250252</t>
  </si>
  <si>
    <t>-14.5059711</t>
  </si>
  <si>
    <t>Médecin Ahmed vall</t>
  </si>
  <si>
    <t>17.4714143</t>
  </si>
  <si>
    <t>-11.4379025</t>
  </si>
  <si>
    <t>Aghorat</t>
  </si>
  <si>
    <t>Teguelive</t>
  </si>
  <si>
    <t>16.4947486</t>
  </si>
  <si>
    <t>-10.9937211</t>
  </si>
  <si>
    <t>Bragech</t>
  </si>
  <si>
    <t>22.6797253</t>
  </si>
  <si>
    <t>-12.7133446</t>
  </si>
  <si>
    <t>TifondéCivé</t>
  </si>
  <si>
    <t>Medene siyaad ( Hadaad )</t>
  </si>
  <si>
    <t>15.7994895</t>
  </si>
  <si>
    <t>-12.9364462</t>
  </si>
  <si>
    <t>Hel Ahmaada</t>
  </si>
  <si>
    <t>15.8795633</t>
  </si>
  <si>
    <t>-12.9941767</t>
  </si>
  <si>
    <t>15.7648858</t>
  </si>
  <si>
    <t>-12.9253316</t>
  </si>
  <si>
    <t>Mleyzimaat</t>
  </si>
  <si>
    <t>15.7806104</t>
  </si>
  <si>
    <t>-13.0610059</t>
  </si>
  <si>
    <t>15.6634387</t>
  </si>
  <si>
    <t>-13.2500112</t>
  </si>
  <si>
    <t>15.1787258</t>
  </si>
  <si>
    <t>-12.2234274</t>
  </si>
  <si>
    <t>16.4070576</t>
  </si>
  <si>
    <t>-13.1355992</t>
  </si>
  <si>
    <t>El Ariye</t>
  </si>
  <si>
    <t>Nbeitiya</t>
  </si>
  <si>
    <t>Nebaghiya</t>
  </si>
  <si>
    <t>17.3782758</t>
  </si>
  <si>
    <t>-15.1305704</t>
  </si>
  <si>
    <t>15.13534</t>
  </si>
  <si>
    <t>-11.8294033</t>
  </si>
  <si>
    <t>Doubelwqw</t>
  </si>
  <si>
    <t>15.2069767</t>
  </si>
  <si>
    <t>-11.831105</t>
  </si>
  <si>
    <t>16.2095961</t>
  </si>
  <si>
    <t>lexeiba</t>
  </si>
  <si>
    <t>-13.1360619</t>
  </si>
  <si>
    <t>Doueirare</t>
  </si>
  <si>
    <t>Env khoueiwira</t>
  </si>
  <si>
    <t>16.3211089</t>
  </si>
  <si>
    <t>-9.5853899</t>
  </si>
  <si>
    <t>El marveg</t>
  </si>
  <si>
    <t>17.0778833</t>
  </si>
  <si>
    <t>-10.6385683</t>
  </si>
  <si>
    <t>17.498657</t>
  </si>
  <si>
    <t>-13.1171631</t>
  </si>
  <si>
    <t>Radhi</t>
  </si>
  <si>
    <t>Tweymirit lijoul</t>
  </si>
  <si>
    <t>16.9692656</t>
  </si>
  <si>
    <t>-10.2179678</t>
  </si>
  <si>
    <t>15.5739126</t>
  </si>
  <si>
    <t>-11.7045328</t>
  </si>
  <si>
    <t>Vessale</t>
  </si>
  <si>
    <t>Serdouba</t>
  </si>
  <si>
    <t>15.537571</t>
  </si>
  <si>
    <t>-5.9890218</t>
  </si>
  <si>
    <t>Tindek.Sale</t>
  </si>
  <si>
    <t>4632/1</t>
  </si>
  <si>
    <t>4632/2</t>
  </si>
  <si>
    <t>4633/1</t>
  </si>
  <si>
    <t>4633/2</t>
  </si>
  <si>
    <t>4637/1</t>
  </si>
  <si>
    <t>4637/2</t>
  </si>
  <si>
    <t>4637/3</t>
  </si>
  <si>
    <t>4637/4</t>
  </si>
  <si>
    <t>4637/5</t>
  </si>
  <si>
    <t>4641/1</t>
  </si>
  <si>
    <t>4641/2</t>
  </si>
  <si>
    <t>4664/1</t>
  </si>
  <si>
    <t>4664/2</t>
  </si>
  <si>
    <t>4664/3</t>
  </si>
  <si>
    <t>4664/4</t>
  </si>
  <si>
    <t>4643/1</t>
  </si>
  <si>
    <t>4643/2</t>
  </si>
  <si>
    <t>4655/1</t>
  </si>
  <si>
    <t>4655/2</t>
  </si>
  <si>
    <t>4670/1</t>
  </si>
  <si>
    <t>4670/2</t>
  </si>
  <si>
    <t>4630/1</t>
  </si>
  <si>
    <t>4630/2</t>
  </si>
  <si>
    <t>4629/1</t>
  </si>
  <si>
    <t>4629/2</t>
  </si>
  <si>
    <t>4622/1</t>
  </si>
  <si>
    <t>4622/2</t>
  </si>
  <si>
    <t>4613/1</t>
  </si>
  <si>
    <t>4613/2</t>
  </si>
  <si>
    <t>4601/1</t>
  </si>
  <si>
    <t>4601/2</t>
  </si>
  <si>
    <t>Boghé</t>
  </si>
  <si>
    <t>Dar El Barka</t>
  </si>
  <si>
    <t>Cham</t>
  </si>
  <si>
    <t>N'teichet</t>
  </si>
  <si>
    <t>Agoueilil</t>
  </si>
  <si>
    <t>28,90; 18,34; 27,01; 28,30</t>
  </si>
  <si>
    <t>Magtalahjar</t>
  </si>
  <si>
    <t>N'Dalaye</t>
  </si>
  <si>
    <t>19,62 ;  23,83 ; 27,36 ; 26,79 ; 20,29</t>
  </si>
  <si>
    <t>Tidjikja</t>
  </si>
  <si>
    <t>Areyd</t>
  </si>
  <si>
    <t xml:space="preserve">18,96 ; 20,39 </t>
  </si>
  <si>
    <t>Néma</t>
  </si>
  <si>
    <t>Rkiz</t>
  </si>
  <si>
    <t>Bareine</t>
  </si>
  <si>
    <t>Tedherert</t>
  </si>
  <si>
    <t>Tenweich</t>
  </si>
  <si>
    <t>Nouakchott OUEST</t>
  </si>
  <si>
    <t>Secret5</t>
  </si>
  <si>
    <t>Dahara</t>
  </si>
  <si>
    <t>kiffa</t>
  </si>
  <si>
    <t>Kendra</t>
  </si>
  <si>
    <t>abbatoire de Nouadhibou</t>
  </si>
  <si>
    <t>Tenghadej</t>
  </si>
  <si>
    <t>EL METYESSAR</t>
  </si>
  <si>
    <t>dhara</t>
  </si>
  <si>
    <t xml:space="preserve">Atar </t>
  </si>
  <si>
    <t>Aghett Taleh</t>
  </si>
  <si>
    <t>Timzine</t>
  </si>
  <si>
    <t>Noowotoullah</t>
  </si>
  <si>
    <t>Treidad</t>
  </si>
  <si>
    <t>Yaghref</t>
  </si>
  <si>
    <t>Dhara</t>
  </si>
  <si>
    <t>El Adala</t>
  </si>
  <si>
    <t>Boubagia</t>
  </si>
  <si>
    <t>Adelbegrou</t>
  </si>
  <si>
    <t>Adel begrou</t>
  </si>
  <si>
    <t>Ain Varba</t>
  </si>
  <si>
    <t>Lenouar</t>
  </si>
  <si>
    <t>Oum Lahyad</t>
  </si>
  <si>
    <t>OumLahbal</t>
  </si>
  <si>
    <t>PCR</t>
  </si>
  <si>
    <t>cameline</t>
  </si>
  <si>
    <t>Troupeau sentinelle</t>
  </si>
  <si>
    <t>Legrave</t>
  </si>
  <si>
    <t>-10.2022246</t>
  </si>
  <si>
    <t>16.4230505</t>
  </si>
  <si>
    <t>Gleib eznaya</t>
  </si>
  <si>
    <t>-10.6655433</t>
  </si>
  <si>
    <t>16.5491767</t>
  </si>
  <si>
    <t>Rosso c</t>
  </si>
  <si>
    <t>Chgare</t>
  </si>
  <si>
    <t>-15.8008828</t>
  </si>
  <si>
    <t>16.5090772</t>
  </si>
  <si>
    <t>Troupeaux sentinelle</t>
  </si>
  <si>
    <t>Maghta lahjar</t>
  </si>
  <si>
    <t>Tachot</t>
  </si>
  <si>
    <t>El Karama</t>
  </si>
  <si>
    <t>-13.1100209</t>
  </si>
  <si>
    <t>17.5036999</t>
  </si>
  <si>
    <t>Ghabou C</t>
  </si>
  <si>
    <t>Jedida</t>
  </si>
  <si>
    <t>-12.265935</t>
  </si>
  <si>
    <t>15.0755417</t>
  </si>
  <si>
    <t>N'beika</t>
  </si>
  <si>
    <t>Gneikira</t>
  </si>
  <si>
    <t>-12.2464678</t>
  </si>
  <si>
    <t>17.9747879</t>
  </si>
  <si>
    <t>Foyer déjà comptabilisé</t>
  </si>
  <si>
    <t>Selibadi</t>
  </si>
  <si>
    <t>Nouakchott</t>
  </si>
  <si>
    <t>Nouackchott</t>
  </si>
  <si>
    <t>Animal cases</t>
  </si>
  <si>
    <t>Death cases</t>
  </si>
  <si>
    <t xml:space="preserve"> Human cases (except human deaths) </t>
  </si>
  <si>
    <t>Wilaya</t>
  </si>
  <si>
    <t>Total human and death cases</t>
  </si>
  <si>
    <t>Nouakchott Sud</t>
  </si>
  <si>
    <t>Arafat</t>
  </si>
  <si>
    <t>Teyarett</t>
  </si>
  <si>
    <t>Zones de Maladie</t>
  </si>
  <si>
    <t>X_Long</t>
  </si>
  <si>
    <t>Y_Lat</t>
  </si>
  <si>
    <t>Structure</t>
  </si>
  <si>
    <t>Profession</t>
  </si>
  <si>
    <t>Date de Notification</t>
  </si>
  <si>
    <t>Date Hospitalisation</t>
  </si>
  <si>
    <t xml:space="preserve">  Nombre Négatif RVF</t>
  </si>
  <si>
    <t xml:space="preserve"> Nombre Positif RVF</t>
  </si>
  <si>
    <t>statut</t>
  </si>
  <si>
    <t>Date décés</t>
  </si>
  <si>
    <t>Contrôle</t>
  </si>
  <si>
    <t>HODH ECH CHARGHI</t>
  </si>
  <si>
    <t>Oualata</t>
  </si>
  <si>
    <t>CH Néma</t>
  </si>
  <si>
    <t xml:space="preserve">Vivant </t>
  </si>
  <si>
    <t>N'Beiket Lehwach</t>
  </si>
  <si>
    <t>% DECES</t>
  </si>
  <si>
    <t>VASSALA</t>
  </si>
  <si>
    <t>CS VASSALE</t>
  </si>
  <si>
    <t>NEMA</t>
  </si>
  <si>
    <t>CH NEMA</t>
  </si>
  <si>
    <t>CHZ (depuis 1 SEMAINE à Dar Naim)</t>
  </si>
  <si>
    <t>Décés</t>
  </si>
  <si>
    <t>TRARZA</t>
  </si>
  <si>
    <t>ROSSO</t>
  </si>
  <si>
    <t>PK3</t>
  </si>
  <si>
    <t>CH ROSSO</t>
  </si>
  <si>
    <t>Positivité</t>
  </si>
  <si>
    <t>PK4</t>
  </si>
  <si>
    <t>PK5</t>
  </si>
  <si>
    <t>CS RKIZ</t>
  </si>
  <si>
    <t>Eleve</t>
  </si>
  <si>
    <t>PK6</t>
  </si>
  <si>
    <t>CHH BTT</t>
  </si>
  <si>
    <t>MEDERDRA</t>
  </si>
  <si>
    <t>CLINIQUE NEJAH (Arafat)</t>
  </si>
  <si>
    <t>TEKANE</t>
  </si>
  <si>
    <t>CH HAMED</t>
  </si>
  <si>
    <t xml:space="preserve">ROSSO </t>
  </si>
  <si>
    <t>M'BALALL</t>
  </si>
  <si>
    <t>CHN</t>
  </si>
  <si>
    <t>NEMJATTE</t>
  </si>
  <si>
    <t>BOMBRI</t>
  </si>
  <si>
    <t>TEICHTAYAT</t>
  </si>
  <si>
    <t>CLINIQUE NEJAH</t>
  </si>
  <si>
    <t>BOUNAMA</t>
  </si>
  <si>
    <t>CH Boutilimitt</t>
  </si>
  <si>
    <t>RKIZ</t>
  </si>
  <si>
    <t>MAGHTALAHJAR</t>
  </si>
  <si>
    <t>Baghdad</t>
  </si>
  <si>
    <t>Negatif</t>
  </si>
  <si>
    <t>BRAKNA</t>
  </si>
  <si>
    <t>ALEG</t>
  </si>
  <si>
    <t>CHZ</t>
  </si>
  <si>
    <t>Dar Naim</t>
  </si>
  <si>
    <t>CS TACHOTT</t>
  </si>
  <si>
    <t>Badely (ouad kedi)</t>
  </si>
  <si>
    <t>CH Aleg</t>
  </si>
  <si>
    <t>BOUCHER</t>
  </si>
  <si>
    <t>CH ALEG</t>
  </si>
  <si>
    <t>CHEGAR</t>
  </si>
  <si>
    <t>CS M LAHJAR</t>
  </si>
  <si>
    <t xml:space="preserve">ALEG </t>
  </si>
  <si>
    <t>BOUCHERI</t>
  </si>
  <si>
    <t>EL MECHRONE</t>
  </si>
  <si>
    <t>CHELKHE AMAR</t>
  </si>
  <si>
    <t>CS M. LAHJAR</t>
  </si>
  <si>
    <t>MAGHTAA LAHJAR</t>
  </si>
  <si>
    <t>EL JEDIDA</t>
  </si>
  <si>
    <t>en attente d'analyse</t>
  </si>
  <si>
    <t>LEKTEITE</t>
  </si>
  <si>
    <t>CHÂTEAU D'EAU</t>
  </si>
  <si>
    <t>BOUBAKJU</t>
  </si>
  <si>
    <t>BABABE</t>
  </si>
  <si>
    <t>BOGHE</t>
  </si>
  <si>
    <t>M'BAGNE</t>
  </si>
  <si>
    <t>MALE</t>
  </si>
  <si>
    <t>CH BOGHE</t>
  </si>
  <si>
    <t>BARKEWEL</t>
  </si>
  <si>
    <t>D'iriji</t>
  </si>
  <si>
    <t>ASSABA</t>
  </si>
  <si>
    <t>KIFFA</t>
  </si>
  <si>
    <t>TENAHI</t>
  </si>
  <si>
    <t>CH KIFFA</t>
  </si>
  <si>
    <t>RACHID</t>
  </si>
  <si>
    <t>LEKRAYIE</t>
  </si>
  <si>
    <t>SAGATAR</t>
  </si>
  <si>
    <t>KANKOSSA</t>
  </si>
  <si>
    <t>MENAGERE</t>
  </si>
  <si>
    <t>BOUMDEID</t>
  </si>
  <si>
    <t>BARKEOL</t>
  </si>
  <si>
    <t>GUERROU</t>
  </si>
  <si>
    <t>AIOUNE</t>
  </si>
  <si>
    <t>HODH EL GHARBI</t>
  </si>
  <si>
    <t xml:space="preserve">AIOUN </t>
  </si>
  <si>
    <t>TAMCHEKETT</t>
  </si>
  <si>
    <t>CS AIOUN</t>
  </si>
  <si>
    <t>KOBENI</t>
  </si>
  <si>
    <t>TOUIL</t>
  </si>
  <si>
    <t>CSR</t>
  </si>
  <si>
    <t>TINTANE</t>
  </si>
  <si>
    <t>TEVRAGH ZEINA</t>
  </si>
  <si>
    <t>CH TINTAN</t>
  </si>
  <si>
    <t>NOUAKCHOTT OUEST</t>
  </si>
  <si>
    <t>KSAR</t>
  </si>
  <si>
    <t>SOUKOUK</t>
  </si>
  <si>
    <t>CLINIQYE KISSI</t>
  </si>
  <si>
    <t>SEBKHA</t>
  </si>
  <si>
    <t>ARAFAT</t>
  </si>
  <si>
    <t>CHN urgence</t>
  </si>
  <si>
    <t>NOUAKCHOTT SUD</t>
  </si>
  <si>
    <t>TOUJOUNINE</t>
  </si>
  <si>
    <t>MELLAH</t>
  </si>
  <si>
    <t>NOUAKCHOTT NORD</t>
  </si>
  <si>
    <t>TEYARETT</t>
  </si>
  <si>
    <t>CS TEYARET</t>
  </si>
  <si>
    <t>DAR NAIM</t>
  </si>
  <si>
    <t>AYN TALEH</t>
  </si>
  <si>
    <t>AIN TALEH</t>
  </si>
  <si>
    <t>TIDJIKJA</t>
  </si>
  <si>
    <t>TICHITT</t>
  </si>
  <si>
    <t>TAGANT</t>
  </si>
  <si>
    <t>MOUDJERIA</t>
  </si>
  <si>
    <t>CH TIDJIKJA</t>
  </si>
  <si>
    <t>Etudient</t>
  </si>
  <si>
    <t>ARGOUB TORG</t>
  </si>
  <si>
    <t>MBIDAN LEYDEK</t>
  </si>
  <si>
    <t>PS  EL HOUSSEINIYE</t>
  </si>
  <si>
    <t>MAGHAMA</t>
  </si>
  <si>
    <t xml:space="preserve"> Cs de Moudjeria</t>
  </si>
  <si>
    <t>GORGOL</t>
  </si>
  <si>
    <t>LIXEIBA1</t>
  </si>
  <si>
    <t>MBOUT</t>
  </si>
  <si>
    <t>CS KAEDI</t>
  </si>
  <si>
    <t>KAEDI</t>
  </si>
  <si>
    <t xml:space="preserve">KEADI </t>
  </si>
  <si>
    <t>DE EHELE</t>
  </si>
  <si>
    <t>CH KEADI</t>
  </si>
  <si>
    <t>OULD YENGE</t>
  </si>
  <si>
    <t>MOUNGUEL</t>
  </si>
  <si>
    <t>GHABOU</t>
  </si>
  <si>
    <t>PS DE EHELE</t>
  </si>
  <si>
    <t>ELeve</t>
  </si>
  <si>
    <t>SELIBABY</t>
  </si>
  <si>
    <t>WOMPOU</t>
  </si>
  <si>
    <t>LIXEIBA</t>
  </si>
  <si>
    <t>WOUMPOU</t>
  </si>
  <si>
    <t>LRBEIRA</t>
  </si>
  <si>
    <t>RB6</t>
  </si>
  <si>
    <t>NOUADHIBOU</t>
  </si>
  <si>
    <t>DAKHLET NOUADHIBOU</t>
  </si>
  <si>
    <t>CHAMI</t>
  </si>
  <si>
    <t>CSM NDB</t>
  </si>
  <si>
    <t>AKJOUJT</t>
  </si>
  <si>
    <t>INCHIRI</t>
  </si>
  <si>
    <t>ATAR</t>
  </si>
  <si>
    <t>ADRAR</t>
  </si>
  <si>
    <t>CHINGUITTY</t>
  </si>
  <si>
    <t>PS MEDAH</t>
  </si>
  <si>
    <t>AOUJEFT</t>
  </si>
  <si>
    <t>OUADANE</t>
  </si>
  <si>
    <t>TAWAZ</t>
  </si>
  <si>
    <t>CH ATAR</t>
  </si>
  <si>
    <t>ARIARRA BOGHE</t>
  </si>
  <si>
    <t>TIRIS ZEMMOUR</t>
  </si>
  <si>
    <t>ZOUERATT</t>
  </si>
  <si>
    <t>CS ZOUREIT</t>
  </si>
  <si>
    <t>GUIDIMAGHA</t>
  </si>
  <si>
    <t>KINIKOUMOU</t>
  </si>
  <si>
    <t>SH SELIBABY</t>
  </si>
  <si>
    <t>WOUROHAIRE</t>
  </si>
  <si>
    <t>MOUDJI GARAGE</t>
  </si>
  <si>
    <t>CH SELIBABY</t>
  </si>
  <si>
    <t>Fermiers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</si>
</sst>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219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3" fillId="0" borderId="0" xfId="0" applyNumberFormat="1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14" fontId="3" fillId="0" borderId="4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4" fontId="0" fillId="0" borderId="1" xfId="0" applyNumberFormat="1" applyBorder="1" applyAlignment="1">
      <alignment horizontal="center"/>
    </xf>
    <xf numFmtId="164" fontId="6" fillId="0" borderId="1" xfId="0" applyNumberFormat="1" applyFont="1" applyBorder="1"/>
    <xf numFmtId="0" fontId="0" fillId="3" borderId="1" xfId="0" applyFill="1" applyBorder="1"/>
    <xf numFmtId="0" fontId="0" fillId="3" borderId="3" xfId="0" applyFill="1" applyBorder="1"/>
    <xf numFmtId="14" fontId="0" fillId="0" borderId="4" xfId="0" applyNumberFormat="1" applyBorder="1"/>
    <xf numFmtId="14" fontId="0" fillId="0" borderId="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14" fontId="0" fillId="3" borderId="1" xfId="0" applyNumberFormat="1" applyFill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14" fontId="9" fillId="0" borderId="1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4" fontId="9" fillId="3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2" borderId="1" xfId="0" applyFont="1" applyFill="1" applyBorder="1"/>
    <xf numFmtId="0" fontId="0" fillId="2" borderId="0" xfId="0" applyFill="1"/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2" borderId="1" xfId="0" applyFill="1" applyBorder="1"/>
    <xf numFmtId="0" fontId="0" fillId="4" borderId="3" xfId="0" applyFill="1" applyBorder="1"/>
    <xf numFmtId="0" fontId="6" fillId="4" borderId="1" xfId="0" applyFont="1" applyFill="1" applyBorder="1"/>
    <xf numFmtId="0" fontId="0" fillId="0" borderId="0" xfId="0" applyFill="1"/>
    <xf numFmtId="0" fontId="10" fillId="4" borderId="5" xfId="0" applyFont="1" applyFill="1" applyBorder="1"/>
    <xf numFmtId="0" fontId="0" fillId="4" borderId="0" xfId="0" applyFill="1"/>
    <xf numFmtId="14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0" xfId="0" applyFill="1"/>
    <xf numFmtId="14" fontId="9" fillId="5" borderId="1" xfId="0" applyNumberFormat="1" applyFont="1" applyFill="1" applyBorder="1"/>
    <xf numFmtId="0" fontId="6" fillId="5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0" borderId="4" xfId="0" applyFont="1" applyBorder="1"/>
    <xf numFmtId="0" fontId="0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6" borderId="0" xfId="0" applyFont="1" applyFill="1" applyBorder="1" applyAlignment="1">
      <alignment horizontal="left"/>
    </xf>
    <xf numFmtId="0" fontId="0" fillId="6" borderId="0" xfId="0" applyFont="1" applyFill="1" applyBorder="1" applyAlignment="1">
      <alignment horizontal="center"/>
    </xf>
    <xf numFmtId="0" fontId="0" fillId="6" borderId="0" xfId="0" applyFill="1" applyBorder="1"/>
    <xf numFmtId="0" fontId="0" fillId="6" borderId="0" xfId="0" applyFill="1"/>
    <xf numFmtId="0" fontId="0" fillId="0" borderId="0" xfId="0" applyFill="1" applyBorder="1"/>
    <xf numFmtId="0" fontId="8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Border="1" applyAlignment="1">
      <alignment vertical="center"/>
    </xf>
    <xf numFmtId="0" fontId="6" fillId="6" borderId="0" xfId="0" applyFont="1" applyFill="1" applyBorder="1" applyAlignment="1">
      <alignment horizontal="left"/>
    </xf>
    <xf numFmtId="0" fontId="6" fillId="0" borderId="0" xfId="0" applyFont="1" applyBorder="1" applyAlignment="1">
      <alignment vertical="center"/>
    </xf>
    <xf numFmtId="0" fontId="1" fillId="0" borderId="4" xfId="0" applyFont="1" applyFill="1" applyBorder="1"/>
    <xf numFmtId="0" fontId="16" fillId="7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9" borderId="1" xfId="0" applyFill="1" applyBorder="1" applyAlignment="1">
      <alignment vertical="center"/>
    </xf>
    <xf numFmtId="14" fontId="0" fillId="9" borderId="1" xfId="0" applyNumberFormat="1" applyFill="1" applyBorder="1" applyAlignment="1">
      <alignment vertical="center"/>
    </xf>
    <xf numFmtId="9" fontId="1" fillId="0" borderId="0" xfId="1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4" fontId="1" fillId="9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9" fontId="0" fillId="0" borderId="0" xfId="1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14" fontId="0" fillId="10" borderId="1" xfId="0" applyNumberFormat="1" applyFill="1" applyBorder="1" applyAlignment="1">
      <alignment vertical="center"/>
    </xf>
    <xf numFmtId="0" fontId="0" fillId="10" borderId="0" xfId="0" applyFill="1" applyAlignment="1">
      <alignment vertical="center"/>
    </xf>
    <xf numFmtId="0" fontId="4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9" xfId="0" applyNumberFormat="1" applyBorder="1" applyAlignment="1">
      <alignment vertical="center"/>
    </xf>
    <xf numFmtId="14" fontId="0" fillId="0" borderId="10" xfId="0" applyNumberFormat="1" applyBorder="1" applyAlignment="1">
      <alignment vertical="center"/>
    </xf>
    <xf numFmtId="0" fontId="17" fillId="9" borderId="10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10" borderId="7" xfId="0" applyFill="1" applyBorder="1" applyAlignment="1">
      <alignment vertical="center"/>
    </xf>
    <xf numFmtId="164" fontId="0" fillId="10" borderId="0" xfId="0" applyNumberFormat="1" applyFill="1"/>
    <xf numFmtId="0" fontId="0" fillId="10" borderId="8" xfId="0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14" fontId="5" fillId="3" borderId="1" xfId="0" applyNumberFormat="1" applyFont="1" applyFill="1" applyBorder="1" applyAlignment="1">
      <alignment vertical="center"/>
    </xf>
    <xf numFmtId="14" fontId="5" fillId="9" borderId="1" xfId="0" applyNumberFormat="1" applyFont="1" applyFill="1" applyBorder="1" applyAlignment="1">
      <alignment vertical="center"/>
    </xf>
    <xf numFmtId="164" fontId="0" fillId="11" borderId="0" xfId="0" applyNumberFormat="1" applyFill="1"/>
    <xf numFmtId="14" fontId="5" fillId="10" borderId="1" xfId="0" applyNumberFormat="1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3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0" fillId="0" borderId="17" xfId="0" applyBorder="1" applyAlignment="1">
      <alignment vertical="center"/>
    </xf>
    <xf numFmtId="14" fontId="0" fillId="0" borderId="17" xfId="0" applyNumberFormat="1" applyBorder="1" applyAlignment="1">
      <alignment vertical="center"/>
    </xf>
    <xf numFmtId="14" fontId="0" fillId="3" borderId="19" xfId="0" applyNumberFormat="1" applyFill="1" applyBorder="1" applyAlignment="1">
      <alignment vertical="center"/>
    </xf>
    <xf numFmtId="0" fontId="0" fillId="9" borderId="19" xfId="0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2" borderId="23" xfId="0" applyFill="1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0" borderId="26" xfId="0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14" fontId="0" fillId="3" borderId="1" xfId="0" applyNumberFormat="1" applyFill="1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24"/>
  <sheetViews>
    <sheetView zoomScale="70" zoomScaleNormal="70" workbookViewId="0">
      <selection activeCell="L134" sqref="L134"/>
    </sheetView>
  </sheetViews>
  <sheetFormatPr baseColWidth="10" defaultColWidth="9.109375" defaultRowHeight="14.4" x14ac:dyDescent="0.3"/>
  <cols>
    <col min="1" max="1" width="13.6640625" style="23" customWidth="1"/>
    <col min="2" max="2" width="15.44140625" customWidth="1"/>
    <col min="3" max="3" width="17" customWidth="1"/>
    <col min="4" max="4" width="14.33203125" style="19" customWidth="1"/>
    <col min="5" max="5" width="19.109375" style="18" customWidth="1"/>
    <col min="6" max="6" width="20" customWidth="1"/>
    <col min="7" max="8" width="18.44140625" customWidth="1"/>
    <col min="9" max="9" width="21" style="60" customWidth="1"/>
    <col min="10" max="10" width="12.33203125" style="18" customWidth="1"/>
    <col min="11" max="11" width="11.109375" style="18" customWidth="1"/>
    <col min="12" max="12" width="16.5546875" customWidth="1"/>
    <col min="13" max="13" width="13.44140625" style="53" customWidth="1"/>
    <col min="14" max="14" width="13.44140625" customWidth="1"/>
    <col min="15" max="15" width="16.6640625" customWidth="1"/>
    <col min="16" max="16" width="18.6640625" style="18" customWidth="1"/>
  </cols>
  <sheetData>
    <row r="1" spans="1:18" x14ac:dyDescent="0.3">
      <c r="A1" s="20" t="s">
        <v>75</v>
      </c>
      <c r="B1" s="5" t="s">
        <v>4</v>
      </c>
      <c r="C1" s="24" t="s">
        <v>66</v>
      </c>
      <c r="D1" s="5" t="s">
        <v>5</v>
      </c>
      <c r="E1" s="6" t="s">
        <v>6</v>
      </c>
      <c r="F1" s="7" t="s">
        <v>62</v>
      </c>
      <c r="G1" s="7" t="s">
        <v>63</v>
      </c>
      <c r="H1" s="7" t="s">
        <v>64</v>
      </c>
      <c r="I1" s="54" t="s">
        <v>0</v>
      </c>
      <c r="J1" s="6" t="s">
        <v>60</v>
      </c>
      <c r="K1" s="6" t="s">
        <v>61</v>
      </c>
      <c r="L1" s="5" t="s">
        <v>7</v>
      </c>
      <c r="M1" s="6" t="s">
        <v>8</v>
      </c>
      <c r="N1" s="7" t="s">
        <v>47</v>
      </c>
      <c r="O1" s="7" t="s">
        <v>9</v>
      </c>
      <c r="P1" s="6" t="s">
        <v>49</v>
      </c>
    </row>
    <row r="2" spans="1:18" hidden="1" x14ac:dyDescent="0.3">
      <c r="A2" s="43">
        <v>45910</v>
      </c>
      <c r="B2" s="44">
        <v>4551</v>
      </c>
      <c r="C2" s="45">
        <v>45904</v>
      </c>
      <c r="D2" s="45">
        <v>45908</v>
      </c>
      <c r="E2" s="10" t="s">
        <v>10</v>
      </c>
      <c r="F2" s="46" t="s">
        <v>14</v>
      </c>
      <c r="G2" s="46" t="s">
        <v>231</v>
      </c>
      <c r="H2" s="95" t="s">
        <v>232</v>
      </c>
      <c r="I2" s="55" t="s">
        <v>233</v>
      </c>
      <c r="J2" s="10">
        <v>-14.688611</v>
      </c>
      <c r="K2" s="10">
        <v>16.754166000000001</v>
      </c>
      <c r="L2" s="44" t="s">
        <v>57</v>
      </c>
      <c r="M2" s="10">
        <v>10</v>
      </c>
      <c r="N2" s="46" t="s">
        <v>48</v>
      </c>
      <c r="O2" s="47" t="s">
        <v>52</v>
      </c>
      <c r="P2" s="47">
        <v>1</v>
      </c>
    </row>
    <row r="3" spans="1:18" ht="15.6" x14ac:dyDescent="0.3">
      <c r="A3" s="8">
        <v>45931</v>
      </c>
      <c r="B3" s="2">
        <v>4582</v>
      </c>
      <c r="C3" s="9">
        <v>45929</v>
      </c>
      <c r="D3" s="27">
        <v>45931</v>
      </c>
      <c r="E3" s="2" t="s">
        <v>10</v>
      </c>
      <c r="F3" s="3" t="s">
        <v>1</v>
      </c>
      <c r="G3" s="3" t="s">
        <v>19</v>
      </c>
      <c r="H3" s="96" t="s">
        <v>19</v>
      </c>
      <c r="I3" s="56" t="s">
        <v>69</v>
      </c>
      <c r="J3" s="33">
        <v>-15.839549999999999</v>
      </c>
      <c r="K3" s="33">
        <v>16.56711</v>
      </c>
      <c r="L3" s="3" t="s">
        <v>53</v>
      </c>
      <c r="M3" s="10">
        <v>10</v>
      </c>
      <c r="N3" s="2" t="s">
        <v>48</v>
      </c>
      <c r="O3" s="11" t="s">
        <v>52</v>
      </c>
      <c r="P3" s="11">
        <v>3</v>
      </c>
    </row>
    <row r="4" spans="1:18" ht="19.5" hidden="1" customHeight="1" x14ac:dyDescent="0.3">
      <c r="A4" s="8">
        <v>45932</v>
      </c>
      <c r="B4" s="2">
        <v>4584</v>
      </c>
      <c r="C4" s="9">
        <v>45931</v>
      </c>
      <c r="D4" s="27">
        <v>45932</v>
      </c>
      <c r="E4" s="2" t="s">
        <v>10</v>
      </c>
      <c r="F4" s="3" t="s">
        <v>68</v>
      </c>
      <c r="G4" s="3" t="s">
        <v>123</v>
      </c>
      <c r="H4" s="3" t="s">
        <v>123</v>
      </c>
      <c r="I4" s="56" t="s">
        <v>125</v>
      </c>
      <c r="J4" s="29">
        <v>-15.99991</v>
      </c>
      <c r="K4" s="29">
        <v>18.111429999999999</v>
      </c>
      <c r="L4" s="3" t="s">
        <v>53</v>
      </c>
      <c r="M4" s="10">
        <v>22</v>
      </c>
      <c r="N4" s="2" t="s">
        <v>48</v>
      </c>
      <c r="O4" s="2" t="s">
        <v>51</v>
      </c>
      <c r="P4" s="2">
        <v>0</v>
      </c>
    </row>
    <row r="5" spans="1:18" ht="18.75" hidden="1" customHeight="1" x14ac:dyDescent="0.3">
      <c r="A5" s="8">
        <v>45932</v>
      </c>
      <c r="B5" s="2">
        <v>4585</v>
      </c>
      <c r="C5" s="9">
        <v>45929</v>
      </c>
      <c r="D5" s="27">
        <v>45932</v>
      </c>
      <c r="E5" s="2" t="s">
        <v>10</v>
      </c>
      <c r="F5" s="3" t="s">
        <v>11</v>
      </c>
      <c r="G5" s="3" t="s">
        <v>95</v>
      </c>
      <c r="H5" s="96" t="s">
        <v>96</v>
      </c>
      <c r="I5" s="56" t="s">
        <v>99</v>
      </c>
      <c r="J5" s="35">
        <v>-13.132619999999999</v>
      </c>
      <c r="K5" s="35">
        <v>16.408449999999998</v>
      </c>
      <c r="L5" s="3" t="s">
        <v>53</v>
      </c>
      <c r="M5" s="10">
        <v>12</v>
      </c>
      <c r="N5" s="2" t="s">
        <v>48</v>
      </c>
      <c r="O5" s="11" t="s">
        <v>52</v>
      </c>
      <c r="P5" s="12">
        <v>1</v>
      </c>
    </row>
    <row r="6" spans="1:18" hidden="1" x14ac:dyDescent="0.3">
      <c r="A6" s="21">
        <v>45932</v>
      </c>
      <c r="B6" s="2">
        <v>4587</v>
      </c>
      <c r="C6" s="9">
        <v>45931</v>
      </c>
      <c r="D6" s="27">
        <v>45932</v>
      </c>
      <c r="E6" s="2" t="s">
        <v>10</v>
      </c>
      <c r="F6" s="3" t="s">
        <v>12</v>
      </c>
      <c r="G6" s="3" t="s">
        <v>13</v>
      </c>
      <c r="H6" s="3" t="s">
        <v>13</v>
      </c>
      <c r="I6" s="56" t="s">
        <v>13</v>
      </c>
      <c r="J6" s="33">
        <v>-12.36749</v>
      </c>
      <c r="K6" s="33">
        <v>14.9718</v>
      </c>
      <c r="L6" s="3" t="s">
        <v>53</v>
      </c>
      <c r="M6" s="10">
        <v>15</v>
      </c>
      <c r="N6" s="2" t="s">
        <v>48</v>
      </c>
      <c r="O6" s="2" t="s">
        <v>51</v>
      </c>
      <c r="P6" s="2">
        <v>0</v>
      </c>
    </row>
    <row r="7" spans="1:18" ht="15.6" hidden="1" x14ac:dyDescent="0.3">
      <c r="A7" s="8">
        <v>45932</v>
      </c>
      <c r="B7" s="2">
        <v>4588</v>
      </c>
      <c r="C7" s="9">
        <v>45929</v>
      </c>
      <c r="D7" s="27">
        <v>45932</v>
      </c>
      <c r="E7" s="2" t="s">
        <v>10</v>
      </c>
      <c r="F7" s="3" t="s">
        <v>14</v>
      </c>
      <c r="G7" s="3" t="s">
        <v>21</v>
      </c>
      <c r="H7" s="96" t="s">
        <v>70</v>
      </c>
      <c r="I7" s="57" t="s">
        <v>70</v>
      </c>
      <c r="J7" s="33">
        <v>-12.570309999999999</v>
      </c>
      <c r="K7" s="33">
        <v>17.15746</v>
      </c>
      <c r="L7" s="3" t="s">
        <v>53</v>
      </c>
      <c r="M7" s="10">
        <v>12</v>
      </c>
      <c r="N7" s="2" t="s">
        <v>48</v>
      </c>
      <c r="O7" s="11" t="s">
        <v>52</v>
      </c>
      <c r="P7" s="12">
        <v>6</v>
      </c>
      <c r="R7" t="s">
        <v>46</v>
      </c>
    </row>
    <row r="8" spans="1:18" ht="15.6" hidden="1" x14ac:dyDescent="0.3">
      <c r="A8" s="8">
        <v>45932</v>
      </c>
      <c r="B8" s="2">
        <v>4589</v>
      </c>
      <c r="C8" s="9">
        <v>45929</v>
      </c>
      <c r="D8" s="27">
        <v>45932</v>
      </c>
      <c r="E8" s="2" t="s">
        <v>10</v>
      </c>
      <c r="F8" s="3" t="s">
        <v>68</v>
      </c>
      <c r="G8" s="3" t="s">
        <v>15</v>
      </c>
      <c r="H8" s="3" t="s">
        <v>15</v>
      </c>
      <c r="I8" s="56" t="s">
        <v>15</v>
      </c>
      <c r="J8" s="2">
        <v>-15.948079999999999</v>
      </c>
      <c r="K8" s="2">
        <v>18.13288</v>
      </c>
      <c r="L8" s="3" t="s">
        <v>53</v>
      </c>
      <c r="M8" s="10">
        <v>9</v>
      </c>
      <c r="N8" s="2" t="s">
        <v>48</v>
      </c>
      <c r="O8" s="2" t="s">
        <v>51</v>
      </c>
      <c r="P8" s="2">
        <v>0</v>
      </c>
    </row>
    <row r="9" spans="1:18" ht="18.75" hidden="1" customHeight="1" x14ac:dyDescent="0.3">
      <c r="A9" s="8">
        <v>45933</v>
      </c>
      <c r="B9" s="2">
        <v>4590</v>
      </c>
      <c r="C9" s="9">
        <v>45929</v>
      </c>
      <c r="D9" s="27">
        <v>45932</v>
      </c>
      <c r="E9" s="2" t="s">
        <v>10</v>
      </c>
      <c r="F9" s="3" t="s">
        <v>11</v>
      </c>
      <c r="G9" s="1" t="s">
        <v>71</v>
      </c>
      <c r="H9" s="94" t="s">
        <v>71</v>
      </c>
      <c r="I9" s="58" t="s">
        <v>116</v>
      </c>
      <c r="J9" s="33">
        <v>-12.964040000000001</v>
      </c>
      <c r="K9" s="33">
        <v>16.084530000000001</v>
      </c>
      <c r="L9" s="3" t="s">
        <v>53</v>
      </c>
      <c r="M9" s="10">
        <v>10</v>
      </c>
      <c r="N9" s="2" t="s">
        <v>48</v>
      </c>
      <c r="O9" s="11" t="s">
        <v>52</v>
      </c>
      <c r="P9" s="12">
        <v>1</v>
      </c>
    </row>
    <row r="10" spans="1:18" ht="19.5" hidden="1" customHeight="1" x14ac:dyDescent="0.3">
      <c r="A10" s="8">
        <v>45933</v>
      </c>
      <c r="B10" s="2">
        <v>4594</v>
      </c>
      <c r="C10" s="9">
        <v>45932</v>
      </c>
      <c r="D10" s="27">
        <v>45932</v>
      </c>
      <c r="E10" s="2" t="s">
        <v>10</v>
      </c>
      <c r="F10" s="3" t="s">
        <v>68</v>
      </c>
      <c r="G10" s="13" t="s">
        <v>123</v>
      </c>
      <c r="H10" s="13" t="s">
        <v>123</v>
      </c>
      <c r="I10" s="58" t="s">
        <v>67</v>
      </c>
      <c r="J10" s="2">
        <v>-15.99991</v>
      </c>
      <c r="K10" s="2">
        <v>18.111429999999999</v>
      </c>
      <c r="L10" s="3" t="s">
        <v>55</v>
      </c>
      <c r="M10" s="14">
        <v>15</v>
      </c>
      <c r="N10" s="15" t="s">
        <v>48</v>
      </c>
      <c r="O10" s="15" t="s">
        <v>51</v>
      </c>
      <c r="P10" s="2">
        <v>0</v>
      </c>
    </row>
    <row r="11" spans="1:18" ht="21" hidden="1" customHeight="1" x14ac:dyDescent="0.3">
      <c r="A11" s="8">
        <v>45933</v>
      </c>
      <c r="B11" s="2">
        <v>4595</v>
      </c>
      <c r="C11" s="9">
        <v>45929</v>
      </c>
      <c r="D11" s="27">
        <v>45933</v>
      </c>
      <c r="E11" s="2" t="s">
        <v>10</v>
      </c>
      <c r="F11" s="3" t="s">
        <v>59</v>
      </c>
      <c r="G11" s="3" t="s">
        <v>40</v>
      </c>
      <c r="H11" s="96" t="s">
        <v>110</v>
      </c>
      <c r="I11" s="56" t="s">
        <v>111</v>
      </c>
      <c r="J11" s="36">
        <v>-10.49065</v>
      </c>
      <c r="K11" s="36">
        <v>16.452349999999999</v>
      </c>
      <c r="L11" s="3" t="s">
        <v>54</v>
      </c>
      <c r="M11" s="10">
        <v>10</v>
      </c>
      <c r="N11" s="2" t="s">
        <v>48</v>
      </c>
      <c r="O11" s="11" t="s">
        <v>52</v>
      </c>
      <c r="P11" s="11">
        <v>1</v>
      </c>
    </row>
    <row r="12" spans="1:18" ht="15.6" hidden="1" x14ac:dyDescent="0.3">
      <c r="A12" s="8">
        <v>45933</v>
      </c>
      <c r="B12" s="2">
        <v>4596</v>
      </c>
      <c r="C12" s="9">
        <v>45930</v>
      </c>
      <c r="D12" s="27">
        <v>45933</v>
      </c>
      <c r="E12" s="2" t="s">
        <v>10</v>
      </c>
      <c r="F12" s="3" t="s">
        <v>58</v>
      </c>
      <c r="G12" s="3" t="s">
        <v>112</v>
      </c>
      <c r="H12" s="96" t="s">
        <v>28</v>
      </c>
      <c r="I12" s="56" t="s">
        <v>113</v>
      </c>
      <c r="J12" s="3">
        <v>-8.0952769</v>
      </c>
      <c r="K12" s="3">
        <v>16.2853569</v>
      </c>
      <c r="L12" s="3" t="s">
        <v>54</v>
      </c>
      <c r="M12" s="10">
        <v>15</v>
      </c>
      <c r="N12" s="2" t="s">
        <v>48</v>
      </c>
      <c r="O12" s="11" t="s">
        <v>52</v>
      </c>
      <c r="P12" s="12">
        <v>4</v>
      </c>
    </row>
    <row r="13" spans="1:18" ht="15.6" hidden="1" x14ac:dyDescent="0.3">
      <c r="A13" s="8">
        <v>45936</v>
      </c>
      <c r="B13" s="2">
        <v>4598</v>
      </c>
      <c r="C13" s="9">
        <v>45931</v>
      </c>
      <c r="D13" s="27">
        <v>45933</v>
      </c>
      <c r="E13" s="2" t="s">
        <v>10</v>
      </c>
      <c r="F13" s="3" t="s">
        <v>2</v>
      </c>
      <c r="G13" s="3" t="s">
        <v>17</v>
      </c>
      <c r="H13" s="3" t="s">
        <v>17</v>
      </c>
      <c r="I13" s="56" t="s">
        <v>17</v>
      </c>
      <c r="J13" s="25">
        <v>-11.83578</v>
      </c>
      <c r="K13" s="25">
        <v>16.824100000000001</v>
      </c>
      <c r="L13" s="3" t="s">
        <v>53</v>
      </c>
      <c r="M13" s="10">
        <v>17</v>
      </c>
      <c r="N13" s="2" t="s">
        <v>48</v>
      </c>
      <c r="O13" s="2" t="s">
        <v>51</v>
      </c>
      <c r="P13" s="2">
        <v>0</v>
      </c>
    </row>
    <row r="14" spans="1:18" ht="15.6" hidden="1" x14ac:dyDescent="0.3">
      <c r="A14" s="8">
        <v>45936</v>
      </c>
      <c r="B14" s="2">
        <v>4599</v>
      </c>
      <c r="C14" s="9">
        <v>45929</v>
      </c>
      <c r="D14" s="27">
        <v>45933</v>
      </c>
      <c r="E14" s="2" t="s">
        <v>10</v>
      </c>
      <c r="F14" s="3" t="s">
        <v>18</v>
      </c>
      <c r="G14" s="3" t="s">
        <v>74</v>
      </c>
      <c r="H14" s="96" t="s">
        <v>74</v>
      </c>
      <c r="I14" s="56" t="s">
        <v>74</v>
      </c>
      <c r="J14" s="33">
        <v>-11.38401</v>
      </c>
      <c r="K14" s="33">
        <v>18.485050000000001</v>
      </c>
      <c r="L14" s="3" t="s">
        <v>53</v>
      </c>
      <c r="M14" s="10">
        <v>12</v>
      </c>
      <c r="N14" s="2" t="s">
        <v>48</v>
      </c>
      <c r="O14" s="11" t="s">
        <v>52</v>
      </c>
      <c r="P14" s="12">
        <v>1</v>
      </c>
    </row>
    <row r="15" spans="1:18" ht="15.6" x14ac:dyDescent="0.3">
      <c r="A15" s="8">
        <v>45936</v>
      </c>
      <c r="B15" s="2">
        <v>4600</v>
      </c>
      <c r="C15" s="9">
        <v>45931</v>
      </c>
      <c r="D15" s="27">
        <v>45933</v>
      </c>
      <c r="E15" s="2" t="s">
        <v>10</v>
      </c>
      <c r="F15" s="3" t="s">
        <v>1</v>
      </c>
      <c r="G15" s="3" t="s">
        <v>19</v>
      </c>
      <c r="H15" s="96" t="s">
        <v>19</v>
      </c>
      <c r="I15" s="56" t="s">
        <v>199</v>
      </c>
      <c r="J15" s="33">
        <v>-15.828279999999999</v>
      </c>
      <c r="K15" s="33">
        <v>16.6797</v>
      </c>
      <c r="L15" s="3" t="s">
        <v>53</v>
      </c>
      <c r="M15" s="10">
        <v>11</v>
      </c>
      <c r="N15" s="2" t="s">
        <v>48</v>
      </c>
      <c r="O15" s="11" t="s">
        <v>52</v>
      </c>
      <c r="P15" s="11">
        <v>7</v>
      </c>
    </row>
    <row r="16" spans="1:18" ht="15.6" hidden="1" x14ac:dyDescent="0.3">
      <c r="A16" s="8">
        <v>45936</v>
      </c>
      <c r="B16" s="2" t="s">
        <v>229</v>
      </c>
      <c r="C16" s="9">
        <v>45931</v>
      </c>
      <c r="D16" s="27">
        <v>45933</v>
      </c>
      <c r="E16" s="2" t="s">
        <v>10</v>
      </c>
      <c r="F16" s="3" t="s">
        <v>2</v>
      </c>
      <c r="G16" s="3" t="s">
        <v>76</v>
      </c>
      <c r="H16" s="96" t="s">
        <v>77</v>
      </c>
      <c r="I16" s="56" t="s">
        <v>77</v>
      </c>
      <c r="J16" s="25">
        <v>-12.444089999999999</v>
      </c>
      <c r="K16" s="25">
        <v>16.65794</v>
      </c>
      <c r="L16" s="3" t="s">
        <v>53</v>
      </c>
      <c r="M16" s="10">
        <v>15</v>
      </c>
      <c r="N16" s="2" t="s">
        <v>48</v>
      </c>
      <c r="O16" s="11" t="s">
        <v>52</v>
      </c>
      <c r="P16" s="12">
        <v>2</v>
      </c>
    </row>
    <row r="17" spans="1:16" ht="15.6" hidden="1" x14ac:dyDescent="0.3">
      <c r="A17" s="8">
        <v>45936</v>
      </c>
      <c r="B17" s="2" t="s">
        <v>230</v>
      </c>
      <c r="C17" s="16">
        <v>45931</v>
      </c>
      <c r="D17" s="27">
        <v>45933</v>
      </c>
      <c r="E17" s="2" t="s">
        <v>10</v>
      </c>
      <c r="F17" s="3" t="s">
        <v>2</v>
      </c>
      <c r="G17" s="1" t="s">
        <v>26</v>
      </c>
      <c r="H17" s="3" t="s">
        <v>26</v>
      </c>
      <c r="I17" s="56" t="s">
        <v>20</v>
      </c>
      <c r="J17" s="25">
        <v>-12.65104</v>
      </c>
      <c r="K17" s="25">
        <v>16.48743</v>
      </c>
      <c r="L17" s="3" t="s">
        <v>53</v>
      </c>
      <c r="M17" s="10">
        <v>17</v>
      </c>
      <c r="N17" s="2" t="s">
        <v>48</v>
      </c>
      <c r="O17" s="2" t="s">
        <v>51</v>
      </c>
      <c r="P17" s="2">
        <v>0</v>
      </c>
    </row>
    <row r="18" spans="1:16" ht="15.6" hidden="1" x14ac:dyDescent="0.3">
      <c r="A18" s="8">
        <v>45936</v>
      </c>
      <c r="B18" s="2">
        <v>4602</v>
      </c>
      <c r="C18" s="9">
        <v>45931</v>
      </c>
      <c r="D18" s="27">
        <v>45933</v>
      </c>
      <c r="E18" s="2" t="s">
        <v>10</v>
      </c>
      <c r="F18" s="16" t="s">
        <v>14</v>
      </c>
      <c r="G18" s="3" t="s">
        <v>21</v>
      </c>
      <c r="H18" s="96" t="s">
        <v>21</v>
      </c>
      <c r="I18" s="57" t="s">
        <v>21</v>
      </c>
      <c r="J18" s="33">
        <v>-13.916665999999999</v>
      </c>
      <c r="K18" s="33">
        <v>17.05</v>
      </c>
      <c r="L18" s="3" t="s">
        <v>54</v>
      </c>
      <c r="M18" s="10">
        <v>33</v>
      </c>
      <c r="N18" s="2" t="s">
        <v>48</v>
      </c>
      <c r="O18" s="11" t="s">
        <v>52</v>
      </c>
      <c r="P18" s="12">
        <v>5</v>
      </c>
    </row>
    <row r="19" spans="1:16" ht="15.6" x14ac:dyDescent="0.3">
      <c r="A19" s="8">
        <v>45936</v>
      </c>
      <c r="B19" s="2">
        <v>4603</v>
      </c>
      <c r="C19" s="16">
        <v>45932</v>
      </c>
      <c r="D19" s="27">
        <v>45933</v>
      </c>
      <c r="E19" s="2" t="s">
        <v>10</v>
      </c>
      <c r="F19" s="3" t="s">
        <v>1</v>
      </c>
      <c r="G19" s="3" t="s">
        <v>132</v>
      </c>
      <c r="H19" s="3" t="s">
        <v>135</v>
      </c>
      <c r="I19" s="56" t="s">
        <v>136</v>
      </c>
      <c r="J19" s="38" t="s">
        <v>138</v>
      </c>
      <c r="K19" s="38" t="s">
        <v>137</v>
      </c>
      <c r="L19" s="3" t="s">
        <v>54</v>
      </c>
      <c r="M19" s="10">
        <v>9</v>
      </c>
      <c r="N19" s="2" t="s">
        <v>48</v>
      </c>
      <c r="O19" s="2" t="s">
        <v>51</v>
      </c>
      <c r="P19" s="2">
        <v>0</v>
      </c>
    </row>
    <row r="20" spans="1:16" ht="15.6" hidden="1" x14ac:dyDescent="0.3">
      <c r="A20" s="8">
        <v>45936</v>
      </c>
      <c r="B20" s="2">
        <v>4604</v>
      </c>
      <c r="C20" s="9">
        <v>45931</v>
      </c>
      <c r="D20" s="27">
        <v>45933</v>
      </c>
      <c r="E20" s="2" t="s">
        <v>10</v>
      </c>
      <c r="F20" s="3" t="s">
        <v>12</v>
      </c>
      <c r="G20" s="3" t="s">
        <v>300</v>
      </c>
      <c r="H20" s="96" t="s">
        <v>22</v>
      </c>
      <c r="I20" s="56" t="s">
        <v>22</v>
      </c>
      <c r="J20" s="34">
        <v>-12.1753</v>
      </c>
      <c r="K20" s="34">
        <v>14.98495</v>
      </c>
      <c r="L20" s="3" t="s">
        <v>54</v>
      </c>
      <c r="M20" s="10">
        <v>16</v>
      </c>
      <c r="N20" s="2" t="s">
        <v>48</v>
      </c>
      <c r="O20" s="11" t="s">
        <v>52</v>
      </c>
      <c r="P20" s="11">
        <v>1</v>
      </c>
    </row>
    <row r="21" spans="1:16" ht="15.6" hidden="1" x14ac:dyDescent="0.3">
      <c r="A21" s="8">
        <v>45936</v>
      </c>
      <c r="B21" s="2">
        <v>4606</v>
      </c>
      <c r="C21" s="9">
        <v>45931</v>
      </c>
      <c r="D21" s="27">
        <v>45936</v>
      </c>
      <c r="E21" s="2" t="s">
        <v>10</v>
      </c>
      <c r="F21" s="3" t="s">
        <v>130</v>
      </c>
      <c r="G21" s="3" t="s">
        <v>23</v>
      </c>
      <c r="H21" s="3" t="s">
        <v>23</v>
      </c>
      <c r="I21" s="56" t="s">
        <v>23</v>
      </c>
      <c r="J21" s="2">
        <v>-15.907109999999999</v>
      </c>
      <c r="K21" s="2" t="s">
        <v>131</v>
      </c>
      <c r="L21" s="3" t="s">
        <v>56</v>
      </c>
      <c r="M21" s="10">
        <v>12</v>
      </c>
      <c r="N21" s="2" t="s">
        <v>48</v>
      </c>
      <c r="O21" s="2" t="s">
        <v>51</v>
      </c>
      <c r="P21" s="2">
        <v>0</v>
      </c>
    </row>
    <row r="22" spans="1:16" ht="15.6" hidden="1" x14ac:dyDescent="0.3">
      <c r="A22" s="8">
        <v>45936</v>
      </c>
      <c r="B22" s="2">
        <v>4607</v>
      </c>
      <c r="C22" s="9">
        <v>45932</v>
      </c>
      <c r="D22" s="27">
        <v>45936</v>
      </c>
      <c r="E22" s="2" t="s">
        <v>10</v>
      </c>
      <c r="F22" s="3" t="s">
        <v>72</v>
      </c>
      <c r="G22" s="3" t="s">
        <v>16</v>
      </c>
      <c r="H22" s="96" t="s">
        <v>78</v>
      </c>
      <c r="I22" s="56" t="s">
        <v>78</v>
      </c>
      <c r="J22" s="33">
        <v>-17.052</v>
      </c>
      <c r="K22" s="33">
        <v>20.96238</v>
      </c>
      <c r="L22" s="3" t="s">
        <v>54</v>
      </c>
      <c r="M22" s="10">
        <v>20</v>
      </c>
      <c r="N22" s="2" t="s">
        <v>48</v>
      </c>
      <c r="O22" s="11" t="s">
        <v>52</v>
      </c>
      <c r="P22" s="12">
        <v>1</v>
      </c>
    </row>
    <row r="23" spans="1:16" ht="15.6" hidden="1" x14ac:dyDescent="0.3">
      <c r="A23" s="8">
        <v>45936</v>
      </c>
      <c r="B23" s="2">
        <v>4608</v>
      </c>
      <c r="C23" s="9">
        <v>45931</v>
      </c>
      <c r="D23" s="27">
        <v>45936</v>
      </c>
      <c r="E23" s="2" t="s">
        <v>10</v>
      </c>
      <c r="F23" s="3" t="s">
        <v>2</v>
      </c>
      <c r="G23" s="3" t="s">
        <v>24</v>
      </c>
      <c r="H23" s="3" t="s">
        <v>24</v>
      </c>
      <c r="I23" s="56" t="s">
        <v>24</v>
      </c>
      <c r="J23" s="25">
        <v>-12.243209999999999</v>
      </c>
      <c r="K23" s="25">
        <v>17.1996</v>
      </c>
      <c r="L23" s="3" t="s">
        <v>53</v>
      </c>
      <c r="M23" s="10">
        <v>10</v>
      </c>
      <c r="N23" s="2" t="s">
        <v>48</v>
      </c>
      <c r="O23" s="2" t="s">
        <v>51</v>
      </c>
      <c r="P23" s="2">
        <v>0</v>
      </c>
    </row>
    <row r="24" spans="1:16" ht="15.6" hidden="1" x14ac:dyDescent="0.3">
      <c r="A24" s="8">
        <v>45936</v>
      </c>
      <c r="B24" s="2"/>
      <c r="C24" s="9">
        <v>45932</v>
      </c>
      <c r="D24" s="27">
        <v>45936</v>
      </c>
      <c r="E24" s="2" t="s">
        <v>10</v>
      </c>
      <c r="F24" s="3" t="s">
        <v>58</v>
      </c>
      <c r="G24" s="3" t="s">
        <v>25</v>
      </c>
      <c r="H24" s="3" t="s">
        <v>25</v>
      </c>
      <c r="I24" s="56" t="s">
        <v>25</v>
      </c>
      <c r="J24" s="33">
        <v>-5.9555699999999998</v>
      </c>
      <c r="K24" s="33">
        <v>15.86468</v>
      </c>
      <c r="L24" s="3" t="s">
        <v>53</v>
      </c>
      <c r="M24" s="10">
        <v>30</v>
      </c>
      <c r="N24" s="2" t="s">
        <v>48</v>
      </c>
      <c r="O24" s="2" t="s">
        <v>51</v>
      </c>
      <c r="P24" s="2">
        <v>0</v>
      </c>
    </row>
    <row r="25" spans="1:16" ht="15.6" hidden="1" x14ac:dyDescent="0.3">
      <c r="A25" s="8">
        <v>45936</v>
      </c>
      <c r="B25" s="2" t="s">
        <v>227</v>
      </c>
      <c r="C25" s="9">
        <v>45933</v>
      </c>
      <c r="D25" s="27">
        <v>45936</v>
      </c>
      <c r="E25" s="2" t="s">
        <v>10</v>
      </c>
      <c r="F25" s="3" t="s">
        <v>2</v>
      </c>
      <c r="G25" s="3" t="s">
        <v>117</v>
      </c>
      <c r="H25" s="3" t="s">
        <v>117</v>
      </c>
      <c r="I25" s="56" t="s">
        <v>139</v>
      </c>
      <c r="J25" s="39" t="s">
        <v>141</v>
      </c>
      <c r="K25" s="39" t="s">
        <v>140</v>
      </c>
      <c r="L25" s="3" t="s">
        <v>53</v>
      </c>
      <c r="M25" s="10">
        <v>5</v>
      </c>
      <c r="N25" s="2" t="s">
        <v>48</v>
      </c>
      <c r="O25" s="2" t="s">
        <v>51</v>
      </c>
      <c r="P25" s="2">
        <v>0</v>
      </c>
    </row>
    <row r="26" spans="1:16" ht="15.6" hidden="1" x14ac:dyDescent="0.3">
      <c r="A26" s="8">
        <v>45936</v>
      </c>
      <c r="B26" s="2" t="s">
        <v>228</v>
      </c>
      <c r="C26" s="9">
        <v>45933</v>
      </c>
      <c r="D26" s="27">
        <v>45936</v>
      </c>
      <c r="E26" s="2" t="s">
        <v>10</v>
      </c>
      <c r="F26" s="3" t="s">
        <v>2</v>
      </c>
      <c r="G26" s="3" t="s">
        <v>117</v>
      </c>
      <c r="H26" s="26" t="s">
        <v>118</v>
      </c>
      <c r="I26" s="56" t="s">
        <v>128</v>
      </c>
      <c r="J26" s="35">
        <v>-11.66497</v>
      </c>
      <c r="K26" s="35">
        <v>17.27054</v>
      </c>
      <c r="L26" s="3" t="s">
        <v>54</v>
      </c>
      <c r="M26" s="10">
        <v>7</v>
      </c>
      <c r="N26" s="2" t="s">
        <v>48</v>
      </c>
      <c r="O26" s="2" t="s">
        <v>51</v>
      </c>
      <c r="P26" s="2">
        <v>0</v>
      </c>
    </row>
    <row r="27" spans="1:16" ht="15.6" hidden="1" x14ac:dyDescent="0.3">
      <c r="A27" s="8">
        <v>45936</v>
      </c>
      <c r="B27" s="2">
        <v>4616</v>
      </c>
      <c r="C27" s="9">
        <v>45931</v>
      </c>
      <c r="D27" s="27">
        <v>45936</v>
      </c>
      <c r="E27" s="2" t="s">
        <v>10</v>
      </c>
      <c r="F27" s="3" t="s">
        <v>12</v>
      </c>
      <c r="G27" s="3" t="s">
        <v>106</v>
      </c>
      <c r="H27" s="3" t="s">
        <v>106</v>
      </c>
      <c r="I27" s="56" t="s">
        <v>106</v>
      </c>
      <c r="J27" s="33">
        <v>-12.58085</v>
      </c>
      <c r="K27" s="33">
        <v>15.21931</v>
      </c>
      <c r="L27" s="3" t="s">
        <v>56</v>
      </c>
      <c r="M27" s="10">
        <v>12</v>
      </c>
      <c r="N27" s="2" t="s">
        <v>48</v>
      </c>
      <c r="O27" s="2" t="s">
        <v>51</v>
      </c>
      <c r="P27" s="2">
        <v>0</v>
      </c>
    </row>
    <row r="28" spans="1:16" ht="15.6" hidden="1" x14ac:dyDescent="0.3">
      <c r="A28" s="8">
        <v>45936</v>
      </c>
      <c r="B28" s="2">
        <v>4617</v>
      </c>
      <c r="C28" s="9">
        <v>45933</v>
      </c>
      <c r="D28" s="27">
        <v>45936</v>
      </c>
      <c r="E28" s="2" t="s">
        <v>10</v>
      </c>
      <c r="F28" s="3" t="s">
        <v>2</v>
      </c>
      <c r="G28" s="3" t="s">
        <v>26</v>
      </c>
      <c r="H28" s="96" t="s">
        <v>26</v>
      </c>
      <c r="I28" s="56" t="s">
        <v>119</v>
      </c>
      <c r="J28" s="33">
        <v>-11.518929999999999</v>
      </c>
      <c r="K28" s="33">
        <v>15.942209999999999</v>
      </c>
      <c r="L28" s="3" t="s">
        <v>53</v>
      </c>
      <c r="M28" s="10">
        <v>42</v>
      </c>
      <c r="N28" s="2" t="s">
        <v>48</v>
      </c>
      <c r="O28" s="11" t="s">
        <v>52</v>
      </c>
      <c r="P28" s="12">
        <v>6</v>
      </c>
    </row>
    <row r="29" spans="1:16" ht="15.6" hidden="1" x14ac:dyDescent="0.3">
      <c r="A29" s="8">
        <v>45936</v>
      </c>
      <c r="B29" s="2">
        <v>4618</v>
      </c>
      <c r="C29" s="9">
        <v>45931</v>
      </c>
      <c r="D29" s="27">
        <v>45936</v>
      </c>
      <c r="E29" s="2" t="s">
        <v>10</v>
      </c>
      <c r="F29" s="3" t="s">
        <v>73</v>
      </c>
      <c r="G29" s="3" t="s">
        <v>122</v>
      </c>
      <c r="H29" s="3" t="s">
        <v>122</v>
      </c>
      <c r="I29" s="56" t="s">
        <v>122</v>
      </c>
      <c r="J29" s="37">
        <v>-12.729200000000001</v>
      </c>
      <c r="K29" s="37">
        <v>22.676500000000001</v>
      </c>
      <c r="L29" s="3" t="s">
        <v>53</v>
      </c>
      <c r="M29" s="10">
        <v>13</v>
      </c>
      <c r="N29" s="2" t="s">
        <v>48</v>
      </c>
      <c r="O29" s="2" t="s">
        <v>51</v>
      </c>
      <c r="P29" s="2">
        <v>0</v>
      </c>
    </row>
    <row r="30" spans="1:16" ht="15.6" hidden="1" x14ac:dyDescent="0.3">
      <c r="A30" s="8">
        <v>45937</v>
      </c>
      <c r="B30" s="2">
        <v>4620</v>
      </c>
      <c r="C30" s="9">
        <v>45934</v>
      </c>
      <c r="D30" s="27">
        <v>45936</v>
      </c>
      <c r="E30" s="2" t="s">
        <v>10</v>
      </c>
      <c r="F30" s="3" t="s">
        <v>2</v>
      </c>
      <c r="G30" s="3" t="s">
        <v>107</v>
      </c>
      <c r="H30" s="96" t="s">
        <v>107</v>
      </c>
      <c r="I30" s="56" t="s">
        <v>108</v>
      </c>
      <c r="J30" s="33">
        <v>-12.603</v>
      </c>
      <c r="K30" s="33">
        <v>16.476790000000001</v>
      </c>
      <c r="L30" s="3" t="s">
        <v>56</v>
      </c>
      <c r="M30" s="10">
        <v>9</v>
      </c>
      <c r="N30" s="2" t="s">
        <v>48</v>
      </c>
      <c r="O30" s="11" t="s">
        <v>52</v>
      </c>
      <c r="P30" s="12">
        <v>7</v>
      </c>
    </row>
    <row r="31" spans="1:16" ht="15.6" hidden="1" x14ac:dyDescent="0.3">
      <c r="A31" s="8">
        <v>45937</v>
      </c>
      <c r="B31" s="3"/>
      <c r="C31" s="16">
        <v>45934</v>
      </c>
      <c r="D31" s="27">
        <v>45936</v>
      </c>
      <c r="E31" s="2" t="s">
        <v>10</v>
      </c>
      <c r="F31" s="3" t="s">
        <v>2</v>
      </c>
      <c r="G31" s="3" t="s">
        <v>107</v>
      </c>
      <c r="H31" s="96" t="s">
        <v>107</v>
      </c>
      <c r="I31" s="56" t="s">
        <v>108</v>
      </c>
      <c r="J31" s="35">
        <v>-12.603</v>
      </c>
      <c r="K31" s="35">
        <v>16.476790000000001</v>
      </c>
      <c r="L31" s="3" t="s">
        <v>54</v>
      </c>
      <c r="M31" s="10">
        <v>10</v>
      </c>
      <c r="N31" s="2" t="s">
        <v>48</v>
      </c>
      <c r="O31" s="11" t="s">
        <v>52</v>
      </c>
      <c r="P31" s="12">
        <v>4</v>
      </c>
    </row>
    <row r="32" spans="1:16" ht="15.6" hidden="1" x14ac:dyDescent="0.3">
      <c r="A32" s="8">
        <v>45937</v>
      </c>
      <c r="B32" s="2" t="s">
        <v>225</v>
      </c>
      <c r="C32" s="9">
        <v>45934</v>
      </c>
      <c r="D32" s="27">
        <v>45937</v>
      </c>
      <c r="E32" s="2" t="s">
        <v>10</v>
      </c>
      <c r="F32" s="3" t="s">
        <v>58</v>
      </c>
      <c r="G32" s="3" t="s">
        <v>28</v>
      </c>
      <c r="H32" s="96" t="s">
        <v>28</v>
      </c>
      <c r="I32" s="56" t="s">
        <v>28</v>
      </c>
      <c r="J32" s="33">
        <v>-8.1640099999999993</v>
      </c>
      <c r="K32" s="33">
        <v>16.240970000000001</v>
      </c>
      <c r="L32" s="3" t="s">
        <v>56</v>
      </c>
      <c r="M32" s="10">
        <v>30</v>
      </c>
      <c r="N32" s="2" t="s">
        <v>48</v>
      </c>
      <c r="O32" s="11" t="s">
        <v>52</v>
      </c>
      <c r="P32" s="12">
        <v>5</v>
      </c>
    </row>
    <row r="33" spans="1:16" ht="15.6" hidden="1" x14ac:dyDescent="0.3">
      <c r="A33" s="8">
        <v>45937</v>
      </c>
      <c r="B33" s="2" t="s">
        <v>226</v>
      </c>
      <c r="C33" s="9">
        <v>45934</v>
      </c>
      <c r="D33" s="27">
        <v>45937</v>
      </c>
      <c r="E33" s="2" t="s">
        <v>10</v>
      </c>
      <c r="F33" s="3" t="s">
        <v>58</v>
      </c>
      <c r="G33" s="3" t="s">
        <v>28</v>
      </c>
      <c r="H33" s="96" t="s">
        <v>28</v>
      </c>
      <c r="I33" s="56" t="s">
        <v>28</v>
      </c>
      <c r="J33" s="33">
        <v>-8.1640099999999993</v>
      </c>
      <c r="K33" s="33">
        <v>16.240970000000001</v>
      </c>
      <c r="L33" s="3" t="s">
        <v>54</v>
      </c>
      <c r="M33" s="10">
        <v>20</v>
      </c>
      <c r="N33" s="2" t="s">
        <v>48</v>
      </c>
      <c r="O33" s="11" t="s">
        <v>52</v>
      </c>
      <c r="P33" s="12">
        <v>5</v>
      </c>
    </row>
    <row r="34" spans="1:16" ht="15.6" x14ac:dyDescent="0.3">
      <c r="A34" s="8">
        <v>45938</v>
      </c>
      <c r="B34" s="2">
        <v>4623</v>
      </c>
      <c r="C34" s="9">
        <v>45931</v>
      </c>
      <c r="D34" s="27">
        <v>45937</v>
      </c>
      <c r="E34" s="2" t="s">
        <v>10</v>
      </c>
      <c r="F34" s="3" t="s">
        <v>1</v>
      </c>
      <c r="G34" s="3" t="s">
        <v>109</v>
      </c>
      <c r="H34" s="96" t="s">
        <v>109</v>
      </c>
      <c r="I34" s="56" t="s">
        <v>109</v>
      </c>
      <c r="J34" s="33">
        <v>-16.168150000000001</v>
      </c>
      <c r="K34" s="33">
        <v>16.59544</v>
      </c>
      <c r="L34" s="3" t="s">
        <v>56</v>
      </c>
      <c r="M34" s="10">
        <v>17</v>
      </c>
      <c r="N34" s="2" t="s">
        <v>48</v>
      </c>
      <c r="O34" s="11" t="s">
        <v>52</v>
      </c>
      <c r="P34" s="11">
        <v>14</v>
      </c>
    </row>
    <row r="35" spans="1:16" ht="15.6" x14ac:dyDescent="0.3">
      <c r="A35" s="8">
        <v>45938</v>
      </c>
      <c r="B35" s="2">
        <v>4625</v>
      </c>
      <c r="C35" s="9">
        <v>45933</v>
      </c>
      <c r="D35" s="27">
        <v>45937</v>
      </c>
      <c r="E35" s="2" t="s">
        <v>10</v>
      </c>
      <c r="F35" s="3" t="s">
        <v>1</v>
      </c>
      <c r="G35" s="3" t="s">
        <v>109</v>
      </c>
      <c r="H35" s="96" t="s">
        <v>109</v>
      </c>
      <c r="I35" s="56" t="s">
        <v>133</v>
      </c>
      <c r="J35" s="33">
        <v>-15.679169999999999</v>
      </c>
      <c r="K35" s="33">
        <v>16.71153</v>
      </c>
      <c r="L35" s="3" t="s">
        <v>56</v>
      </c>
      <c r="M35" s="10">
        <v>17</v>
      </c>
      <c r="N35" s="2" t="s">
        <v>48</v>
      </c>
      <c r="O35" s="11" t="s">
        <v>52</v>
      </c>
      <c r="P35" s="11">
        <v>10</v>
      </c>
    </row>
    <row r="36" spans="1:16" ht="15.6" hidden="1" x14ac:dyDescent="0.3">
      <c r="A36" s="8">
        <v>45938</v>
      </c>
      <c r="B36" s="2">
        <v>4628</v>
      </c>
      <c r="C36" s="9">
        <v>45934</v>
      </c>
      <c r="D36" s="27">
        <v>45937</v>
      </c>
      <c r="E36" s="2" t="s">
        <v>10</v>
      </c>
      <c r="F36" s="3" t="s">
        <v>12</v>
      </c>
      <c r="G36" s="3" t="s">
        <v>29</v>
      </c>
      <c r="H36" s="3" t="s">
        <v>29</v>
      </c>
      <c r="I36" s="56" t="s">
        <v>29</v>
      </c>
      <c r="J36" s="34">
        <v>-11.67943</v>
      </c>
      <c r="K36" s="34">
        <v>15.57203</v>
      </c>
      <c r="L36" s="3" t="s">
        <v>56</v>
      </c>
      <c r="M36" s="10">
        <v>80</v>
      </c>
      <c r="N36" s="2" t="s">
        <v>48</v>
      </c>
      <c r="O36" s="2" t="s">
        <v>51</v>
      </c>
      <c r="P36" s="11">
        <v>7</v>
      </c>
    </row>
    <row r="37" spans="1:16" ht="15.6" hidden="1" x14ac:dyDescent="0.3">
      <c r="A37" s="8">
        <v>45938</v>
      </c>
      <c r="B37" s="2" t="s">
        <v>223</v>
      </c>
      <c r="C37" s="9">
        <v>45934</v>
      </c>
      <c r="D37" s="27">
        <v>45937</v>
      </c>
      <c r="E37" s="2" t="s">
        <v>10</v>
      </c>
      <c r="F37" s="3" t="s">
        <v>11</v>
      </c>
      <c r="G37" s="3" t="s">
        <v>71</v>
      </c>
      <c r="H37" s="97" t="s">
        <v>71</v>
      </c>
      <c r="I37" s="56" t="s">
        <v>71</v>
      </c>
      <c r="J37" s="33">
        <v>-15.56</v>
      </c>
      <c r="K37" s="33">
        <v>16.559999999999999</v>
      </c>
      <c r="L37" s="3" t="s">
        <v>54</v>
      </c>
      <c r="M37" s="10">
        <v>12</v>
      </c>
      <c r="N37" s="2" t="s">
        <v>48</v>
      </c>
      <c r="O37" s="11" t="s">
        <v>52</v>
      </c>
      <c r="P37" s="12">
        <v>5</v>
      </c>
    </row>
    <row r="38" spans="1:16" ht="15.6" hidden="1" x14ac:dyDescent="0.3">
      <c r="A38" s="8">
        <v>45938</v>
      </c>
      <c r="B38" s="2" t="s">
        <v>224</v>
      </c>
      <c r="C38" s="9">
        <v>45934</v>
      </c>
      <c r="D38" s="27">
        <v>45937</v>
      </c>
      <c r="E38" s="2" t="s">
        <v>10</v>
      </c>
      <c r="F38" s="3" t="s">
        <v>11</v>
      </c>
      <c r="G38" s="3" t="s">
        <v>30</v>
      </c>
      <c r="H38" s="97" t="s">
        <v>71</v>
      </c>
      <c r="I38" s="56" t="s">
        <v>71</v>
      </c>
      <c r="J38" s="33">
        <v>-15.56</v>
      </c>
      <c r="K38" s="33">
        <v>16.559999999999999</v>
      </c>
      <c r="L38" s="3" t="s">
        <v>53</v>
      </c>
      <c r="M38" s="10">
        <v>10</v>
      </c>
      <c r="N38" s="2" t="s">
        <v>48</v>
      </c>
      <c r="O38" s="11" t="s">
        <v>52</v>
      </c>
      <c r="P38" s="12">
        <v>1</v>
      </c>
    </row>
    <row r="39" spans="1:16" ht="15.6" hidden="1" x14ac:dyDescent="0.3">
      <c r="A39" s="8">
        <v>45938</v>
      </c>
      <c r="B39" s="2" t="s">
        <v>221</v>
      </c>
      <c r="C39" s="9">
        <v>45934</v>
      </c>
      <c r="D39" s="27">
        <v>45937</v>
      </c>
      <c r="E39" s="2" t="s">
        <v>10</v>
      </c>
      <c r="F39" s="3" t="s">
        <v>59</v>
      </c>
      <c r="G39" s="3" t="s">
        <v>40</v>
      </c>
      <c r="H39" s="96" t="s">
        <v>120</v>
      </c>
      <c r="I39" s="56" t="s">
        <v>31</v>
      </c>
      <c r="J39" s="36">
        <v>-10.713660000000001</v>
      </c>
      <c r="K39" s="36">
        <v>16.236350000000002</v>
      </c>
      <c r="L39" s="3" t="s">
        <v>53</v>
      </c>
      <c r="M39" s="10">
        <v>15</v>
      </c>
      <c r="N39" s="2" t="s">
        <v>48</v>
      </c>
      <c r="O39" s="11" t="s">
        <v>52</v>
      </c>
      <c r="P39" s="11">
        <v>2</v>
      </c>
    </row>
    <row r="40" spans="1:16" ht="15.6" hidden="1" x14ac:dyDescent="0.3">
      <c r="A40" s="8">
        <v>45938</v>
      </c>
      <c r="B40" s="2" t="s">
        <v>222</v>
      </c>
      <c r="C40" s="9">
        <v>45934</v>
      </c>
      <c r="D40" s="27">
        <v>45937</v>
      </c>
      <c r="E40" s="2" t="s">
        <v>10</v>
      </c>
      <c r="F40" s="3" t="s">
        <v>59</v>
      </c>
      <c r="G40" s="3" t="s">
        <v>40</v>
      </c>
      <c r="H40" s="96" t="s">
        <v>40</v>
      </c>
      <c r="I40" s="56" t="s">
        <v>32</v>
      </c>
      <c r="J40" s="36">
        <v>-9.5378000000000007</v>
      </c>
      <c r="K40" s="36">
        <v>15.443809999999999</v>
      </c>
      <c r="L40" s="3" t="s">
        <v>54</v>
      </c>
      <c r="M40" s="10">
        <v>11</v>
      </c>
      <c r="N40" s="2" t="s">
        <v>48</v>
      </c>
      <c r="O40" s="11" t="s">
        <v>52</v>
      </c>
      <c r="P40" s="11">
        <v>4</v>
      </c>
    </row>
    <row r="41" spans="1:16" ht="15.6" hidden="1" x14ac:dyDescent="0.3">
      <c r="A41" s="8">
        <v>45938</v>
      </c>
      <c r="B41" s="2">
        <v>4631</v>
      </c>
      <c r="C41" s="9">
        <v>45935</v>
      </c>
      <c r="D41" s="27">
        <v>45937</v>
      </c>
      <c r="E41" s="2" t="s">
        <v>10</v>
      </c>
      <c r="F41" s="3" t="s">
        <v>59</v>
      </c>
      <c r="G41" s="3" t="s">
        <v>126</v>
      </c>
      <c r="H41" s="96" t="s">
        <v>126</v>
      </c>
      <c r="I41" s="56" t="s">
        <v>126</v>
      </c>
      <c r="J41" s="36">
        <v>-10.672599999999999</v>
      </c>
      <c r="K41" s="36">
        <v>17.245909999999999</v>
      </c>
      <c r="L41" s="3" t="s">
        <v>53</v>
      </c>
      <c r="M41" s="10">
        <v>16</v>
      </c>
      <c r="N41" s="2" t="s">
        <v>48</v>
      </c>
      <c r="O41" s="11" t="s">
        <v>50</v>
      </c>
      <c r="P41" s="11">
        <v>2</v>
      </c>
    </row>
    <row r="42" spans="1:16" ht="15.6" hidden="1" x14ac:dyDescent="0.3">
      <c r="A42" s="8">
        <v>45938</v>
      </c>
      <c r="B42" s="2" t="s">
        <v>200</v>
      </c>
      <c r="C42" s="9">
        <v>45932</v>
      </c>
      <c r="D42" s="27">
        <v>45937</v>
      </c>
      <c r="E42" s="2" t="s">
        <v>10</v>
      </c>
      <c r="F42" s="3" t="s">
        <v>33</v>
      </c>
      <c r="G42" s="3" t="s">
        <v>37</v>
      </c>
      <c r="H42" s="3" t="s">
        <v>37</v>
      </c>
      <c r="I42" s="56" t="s">
        <v>124</v>
      </c>
      <c r="J42" s="33">
        <v>-13.54752</v>
      </c>
      <c r="K42" s="33">
        <v>20.243950000000002</v>
      </c>
      <c r="L42" s="3" t="s">
        <v>53</v>
      </c>
      <c r="M42" s="10">
        <v>15</v>
      </c>
      <c r="N42" s="2" t="s">
        <v>48</v>
      </c>
      <c r="O42" s="2" t="s">
        <v>51</v>
      </c>
      <c r="P42" s="2">
        <v>0</v>
      </c>
    </row>
    <row r="43" spans="1:16" ht="15.6" hidden="1" x14ac:dyDescent="0.3">
      <c r="A43" s="8">
        <v>45938</v>
      </c>
      <c r="B43" s="2" t="s">
        <v>201</v>
      </c>
      <c r="C43" s="16">
        <v>45932</v>
      </c>
      <c r="D43" s="27">
        <v>45937</v>
      </c>
      <c r="E43" s="2" t="s">
        <v>10</v>
      </c>
      <c r="F43" s="3" t="s">
        <v>33</v>
      </c>
      <c r="G43" s="3" t="s">
        <v>37</v>
      </c>
      <c r="H43" s="3" t="s">
        <v>37</v>
      </c>
      <c r="I43" s="56" t="s">
        <v>121</v>
      </c>
      <c r="J43" s="3">
        <v>-13.055285599999999</v>
      </c>
      <c r="K43" s="3" t="s">
        <v>134</v>
      </c>
      <c r="L43" s="3" t="s">
        <v>53</v>
      </c>
      <c r="M43" s="10">
        <v>13</v>
      </c>
      <c r="N43" s="2" t="s">
        <v>48</v>
      </c>
      <c r="O43" s="2" t="s">
        <v>51</v>
      </c>
      <c r="P43" s="2">
        <v>0</v>
      </c>
    </row>
    <row r="44" spans="1:16" ht="15.6" hidden="1" x14ac:dyDescent="0.3">
      <c r="A44" s="8">
        <v>45939</v>
      </c>
      <c r="B44" s="2" t="s">
        <v>202</v>
      </c>
      <c r="C44" s="9">
        <v>45936</v>
      </c>
      <c r="D44" s="27">
        <v>45938</v>
      </c>
      <c r="E44" s="2" t="s">
        <v>10</v>
      </c>
      <c r="F44" s="3" t="s">
        <v>2</v>
      </c>
      <c r="G44" s="3" t="s">
        <v>3</v>
      </c>
      <c r="H44" s="3" t="s">
        <v>142</v>
      </c>
      <c r="I44" s="56" t="s">
        <v>143</v>
      </c>
      <c r="J44" s="38" t="s">
        <v>145</v>
      </c>
      <c r="K44" s="38" t="s">
        <v>144</v>
      </c>
      <c r="L44" s="3" t="s">
        <v>54</v>
      </c>
      <c r="M44" s="10">
        <v>17</v>
      </c>
      <c r="N44" s="2" t="s">
        <v>48</v>
      </c>
      <c r="O44" s="2" t="s">
        <v>51</v>
      </c>
      <c r="P44" s="2">
        <v>0</v>
      </c>
    </row>
    <row r="45" spans="1:16" ht="15.6" hidden="1" x14ac:dyDescent="0.3">
      <c r="A45" s="32">
        <v>45939</v>
      </c>
      <c r="B45" s="2" t="s">
        <v>203</v>
      </c>
      <c r="C45" s="40">
        <v>45936</v>
      </c>
      <c r="D45" s="27">
        <v>45938</v>
      </c>
      <c r="E45" s="2" t="s">
        <v>10</v>
      </c>
      <c r="F45" s="3" t="s">
        <v>2</v>
      </c>
      <c r="G45" s="3" t="s">
        <v>34</v>
      </c>
      <c r="H45" s="98" t="s">
        <v>3</v>
      </c>
      <c r="I45" s="59" t="s">
        <v>3</v>
      </c>
      <c r="J45" s="33">
        <v>-11.40157</v>
      </c>
      <c r="K45" s="33">
        <v>16.623460000000001</v>
      </c>
      <c r="L45" s="3" t="s">
        <v>57</v>
      </c>
      <c r="M45" s="10">
        <v>8</v>
      </c>
      <c r="N45" s="2" t="s">
        <v>48</v>
      </c>
      <c r="O45" s="11" t="s">
        <v>52</v>
      </c>
      <c r="P45" s="12">
        <v>1</v>
      </c>
    </row>
    <row r="46" spans="1:16" ht="15.6" hidden="1" x14ac:dyDescent="0.3">
      <c r="A46" s="8">
        <v>45939</v>
      </c>
      <c r="B46" s="29">
        <v>4635</v>
      </c>
      <c r="C46" s="41">
        <v>45935</v>
      </c>
      <c r="D46" s="30">
        <v>45939</v>
      </c>
      <c r="E46" s="29" t="s">
        <v>10</v>
      </c>
      <c r="F46" s="31" t="s">
        <v>73</v>
      </c>
      <c r="G46" s="3" t="s">
        <v>122</v>
      </c>
      <c r="H46" s="3" t="s">
        <v>122</v>
      </c>
      <c r="I46" s="59" t="s">
        <v>146</v>
      </c>
      <c r="J46" s="38" t="s">
        <v>148</v>
      </c>
      <c r="K46" s="38" t="s">
        <v>147</v>
      </c>
      <c r="L46" s="3" t="s">
        <v>56</v>
      </c>
      <c r="M46" s="10">
        <v>20</v>
      </c>
      <c r="N46" s="2" t="s">
        <v>48</v>
      </c>
      <c r="O46" s="2" t="s">
        <v>51</v>
      </c>
      <c r="P46" s="2">
        <v>0</v>
      </c>
    </row>
    <row r="47" spans="1:16" ht="15.6" x14ac:dyDescent="0.3">
      <c r="A47" s="8">
        <v>45940</v>
      </c>
      <c r="B47" s="2">
        <v>4636</v>
      </c>
      <c r="C47" s="9">
        <v>45937</v>
      </c>
      <c r="D47" s="27">
        <v>45939</v>
      </c>
      <c r="E47" s="2" t="s">
        <v>10</v>
      </c>
      <c r="F47" s="3" t="s">
        <v>1</v>
      </c>
      <c r="G47" s="3" t="s">
        <v>65</v>
      </c>
      <c r="H47" s="96" t="s">
        <v>65</v>
      </c>
      <c r="I47" s="56" t="s">
        <v>79</v>
      </c>
      <c r="J47" s="33">
        <v>-15.188459999999999</v>
      </c>
      <c r="K47" s="33">
        <v>16.926680000000001</v>
      </c>
      <c r="L47" s="3" t="s">
        <v>53</v>
      </c>
      <c r="M47" s="10">
        <v>23</v>
      </c>
      <c r="N47" s="2" t="s">
        <v>48</v>
      </c>
      <c r="O47" s="11" t="s">
        <v>52</v>
      </c>
      <c r="P47" s="11">
        <v>2</v>
      </c>
    </row>
    <row r="48" spans="1:16" ht="15.6" hidden="1" x14ac:dyDescent="0.3">
      <c r="A48" s="8">
        <v>45940</v>
      </c>
      <c r="B48" s="2" t="s">
        <v>204</v>
      </c>
      <c r="C48" s="9">
        <v>45936</v>
      </c>
      <c r="D48" s="27">
        <v>45939</v>
      </c>
      <c r="E48" s="2" t="s">
        <v>10</v>
      </c>
      <c r="F48" s="3" t="s">
        <v>14</v>
      </c>
      <c r="G48" s="3" t="s">
        <v>80</v>
      </c>
      <c r="H48" s="96" t="s">
        <v>82</v>
      </c>
      <c r="I48" s="57" t="s">
        <v>81</v>
      </c>
      <c r="J48" s="25">
        <v>-13.20086</v>
      </c>
      <c r="K48" s="25">
        <v>17.48742</v>
      </c>
      <c r="L48" s="3" t="s">
        <v>53</v>
      </c>
      <c r="M48" s="10">
        <v>2</v>
      </c>
      <c r="N48" s="2" t="s">
        <v>48</v>
      </c>
      <c r="O48" s="11" t="s">
        <v>52</v>
      </c>
      <c r="P48" s="12">
        <v>1</v>
      </c>
    </row>
    <row r="49" spans="1:18" ht="15.6" hidden="1" x14ac:dyDescent="0.3">
      <c r="A49" s="8">
        <v>45940</v>
      </c>
      <c r="B49" s="2" t="s">
        <v>205</v>
      </c>
      <c r="C49" s="9">
        <v>45936</v>
      </c>
      <c r="D49" s="27">
        <v>45939</v>
      </c>
      <c r="E49" s="2" t="s">
        <v>10</v>
      </c>
      <c r="F49" s="3" t="s">
        <v>14</v>
      </c>
      <c r="G49" s="3" t="s">
        <v>80</v>
      </c>
      <c r="H49" s="96" t="s">
        <v>83</v>
      </c>
      <c r="I49" s="57" t="s">
        <v>129</v>
      </c>
      <c r="J49" s="33">
        <v>-12.65982</v>
      </c>
      <c r="K49" s="33">
        <v>17.4284</v>
      </c>
      <c r="L49" s="3" t="s">
        <v>53</v>
      </c>
      <c r="M49" s="10">
        <v>8</v>
      </c>
      <c r="N49" s="2" t="s">
        <v>48</v>
      </c>
      <c r="O49" s="11" t="s">
        <v>52</v>
      </c>
      <c r="P49" s="12">
        <v>6</v>
      </c>
    </row>
    <row r="50" spans="1:18" ht="15.6" hidden="1" x14ac:dyDescent="0.3">
      <c r="A50" s="8">
        <v>45940</v>
      </c>
      <c r="B50" s="2" t="s">
        <v>206</v>
      </c>
      <c r="C50" s="9">
        <v>45936</v>
      </c>
      <c r="D50" s="27">
        <v>45939</v>
      </c>
      <c r="E50" s="2" t="s">
        <v>10</v>
      </c>
      <c r="F50" s="3" t="s">
        <v>14</v>
      </c>
      <c r="G50" s="3" t="s">
        <v>80</v>
      </c>
      <c r="H50" s="96" t="s">
        <v>114</v>
      </c>
      <c r="I50" s="57" t="s">
        <v>115</v>
      </c>
      <c r="J50" s="33">
        <v>-12.866540000000001</v>
      </c>
      <c r="K50" s="33">
        <v>17.389579999999999</v>
      </c>
      <c r="L50" s="3" t="s">
        <v>53</v>
      </c>
      <c r="M50" s="10">
        <v>10</v>
      </c>
      <c r="N50" s="2" t="s">
        <v>48</v>
      </c>
      <c r="O50" s="11" t="s">
        <v>52</v>
      </c>
      <c r="P50" s="12">
        <v>5</v>
      </c>
    </row>
    <row r="51" spans="1:18" ht="15.6" hidden="1" x14ac:dyDescent="0.3">
      <c r="A51" s="8">
        <v>45940</v>
      </c>
      <c r="B51" s="2" t="s">
        <v>207</v>
      </c>
      <c r="C51" s="9">
        <v>45936</v>
      </c>
      <c r="D51" s="27">
        <v>45939</v>
      </c>
      <c r="E51" s="2" t="s">
        <v>10</v>
      </c>
      <c r="F51" s="3" t="s">
        <v>14</v>
      </c>
      <c r="G51" s="3" t="s">
        <v>21</v>
      </c>
      <c r="H51" s="96" t="s">
        <v>84</v>
      </c>
      <c r="I51" s="57" t="s">
        <v>85</v>
      </c>
      <c r="J51" s="25">
        <v>-12.570309999999999</v>
      </c>
      <c r="K51" s="25">
        <v>17.15746</v>
      </c>
      <c r="L51" s="3" t="s">
        <v>53</v>
      </c>
      <c r="M51" s="10">
        <v>9</v>
      </c>
      <c r="N51" s="2" t="s">
        <v>48</v>
      </c>
      <c r="O51" s="11" t="s">
        <v>52</v>
      </c>
      <c r="P51" s="12">
        <v>1</v>
      </c>
    </row>
    <row r="52" spans="1:18" ht="15.6" hidden="1" x14ac:dyDescent="0.3">
      <c r="A52" s="8">
        <v>45940</v>
      </c>
      <c r="B52" s="2" t="s">
        <v>208</v>
      </c>
      <c r="C52" s="9">
        <v>45936</v>
      </c>
      <c r="D52" s="27">
        <v>45939</v>
      </c>
      <c r="E52" s="2" t="s">
        <v>10</v>
      </c>
      <c r="F52" s="3" t="s">
        <v>14</v>
      </c>
      <c r="G52" s="3" t="s">
        <v>21</v>
      </c>
      <c r="H52" s="96" t="s">
        <v>21</v>
      </c>
      <c r="I52" s="57" t="s">
        <v>35</v>
      </c>
      <c r="J52" s="25">
        <v>-13.916665999999999</v>
      </c>
      <c r="K52" s="25">
        <v>17.05</v>
      </c>
      <c r="L52" s="3" t="s">
        <v>53</v>
      </c>
      <c r="M52" s="10">
        <v>9</v>
      </c>
      <c r="N52" s="2" t="s">
        <v>48</v>
      </c>
      <c r="O52" s="11" t="s">
        <v>52</v>
      </c>
      <c r="P52" s="12">
        <v>5</v>
      </c>
    </row>
    <row r="53" spans="1:18" ht="15.6" hidden="1" x14ac:dyDescent="0.3">
      <c r="A53" s="8">
        <v>45943</v>
      </c>
      <c r="B53" s="2">
        <v>4638</v>
      </c>
      <c r="C53" s="9">
        <v>45937</v>
      </c>
      <c r="D53" s="27">
        <v>45940</v>
      </c>
      <c r="E53" s="2" t="s">
        <v>10</v>
      </c>
      <c r="F53" s="3" t="s">
        <v>58</v>
      </c>
      <c r="G53" s="3" t="s">
        <v>36</v>
      </c>
      <c r="H53" s="3" t="s">
        <v>36</v>
      </c>
      <c r="I53" s="56" t="s">
        <v>36</v>
      </c>
      <c r="J53" s="33">
        <v>-7.2577199999999999</v>
      </c>
      <c r="K53" s="33">
        <v>16.613150000000001</v>
      </c>
      <c r="L53" s="3" t="s">
        <v>53</v>
      </c>
      <c r="M53" s="10">
        <v>10</v>
      </c>
      <c r="N53" s="2" t="s">
        <v>48</v>
      </c>
      <c r="O53" s="2" t="s">
        <v>51</v>
      </c>
      <c r="P53" s="2">
        <v>0</v>
      </c>
    </row>
    <row r="54" spans="1:18" ht="15.6" hidden="1" x14ac:dyDescent="0.3">
      <c r="A54" s="8">
        <v>45943</v>
      </c>
      <c r="B54" s="2">
        <v>4639</v>
      </c>
      <c r="C54" s="9">
        <v>45937</v>
      </c>
      <c r="D54" s="27">
        <v>45940</v>
      </c>
      <c r="E54" s="2" t="s">
        <v>10</v>
      </c>
      <c r="F54" s="3" t="s">
        <v>59</v>
      </c>
      <c r="G54" s="3" t="s">
        <v>126</v>
      </c>
      <c r="H54" s="96" t="s">
        <v>126</v>
      </c>
      <c r="I54" s="56" t="s">
        <v>86</v>
      </c>
      <c r="J54" s="36">
        <v>-10.40846</v>
      </c>
      <c r="K54" s="36">
        <v>16.004290000000001</v>
      </c>
      <c r="L54" s="3" t="s">
        <v>53</v>
      </c>
      <c r="M54" s="10">
        <v>9</v>
      </c>
      <c r="N54" s="2" t="s">
        <v>48</v>
      </c>
      <c r="O54" s="11" t="s">
        <v>52</v>
      </c>
      <c r="P54" s="11">
        <v>2</v>
      </c>
    </row>
    <row r="55" spans="1:18" ht="15.6" hidden="1" x14ac:dyDescent="0.3">
      <c r="A55" s="8">
        <v>45943</v>
      </c>
      <c r="B55" s="2" t="s">
        <v>209</v>
      </c>
      <c r="C55" s="9">
        <v>45938</v>
      </c>
      <c r="D55" s="27">
        <v>45940</v>
      </c>
      <c r="E55" s="2" t="s">
        <v>10</v>
      </c>
      <c r="F55" s="3" t="s">
        <v>11</v>
      </c>
      <c r="G55" s="3" t="s">
        <v>87</v>
      </c>
      <c r="H55" s="96" t="s">
        <v>88</v>
      </c>
      <c r="I55" s="56" t="s">
        <v>88</v>
      </c>
      <c r="J55" s="33">
        <v>-13.249000000000001</v>
      </c>
      <c r="K55" s="33">
        <v>15.65964</v>
      </c>
      <c r="L55" s="3" t="s">
        <v>56</v>
      </c>
      <c r="M55" s="10">
        <v>12</v>
      </c>
      <c r="N55" s="2" t="s">
        <v>48</v>
      </c>
      <c r="O55" s="11" t="s">
        <v>52</v>
      </c>
      <c r="P55" s="12">
        <v>4</v>
      </c>
    </row>
    <row r="56" spans="1:18" ht="15.6" hidden="1" x14ac:dyDescent="0.3">
      <c r="A56" s="8">
        <v>45943</v>
      </c>
      <c r="B56" s="2" t="s">
        <v>210</v>
      </c>
      <c r="C56" s="9">
        <v>45938</v>
      </c>
      <c r="D56" s="27">
        <v>45940</v>
      </c>
      <c r="E56" s="2" t="s">
        <v>10</v>
      </c>
      <c r="F56" s="3" t="s">
        <v>11</v>
      </c>
      <c r="G56" s="3" t="s">
        <v>89</v>
      </c>
      <c r="H56" s="96" t="s">
        <v>88</v>
      </c>
      <c r="I56" s="56" t="s">
        <v>90</v>
      </c>
      <c r="J56" s="33">
        <v>-15.56</v>
      </c>
      <c r="K56" s="33">
        <v>16.559999999999999</v>
      </c>
      <c r="L56" s="3" t="s">
        <v>56</v>
      </c>
      <c r="M56" s="10">
        <v>6</v>
      </c>
      <c r="N56" s="2" t="s">
        <v>48</v>
      </c>
      <c r="O56" s="11" t="s">
        <v>52</v>
      </c>
      <c r="P56" s="12">
        <v>1</v>
      </c>
      <c r="R56" t="s">
        <v>46</v>
      </c>
    </row>
    <row r="57" spans="1:18" ht="15.6" hidden="1" x14ac:dyDescent="0.3">
      <c r="A57" s="8">
        <v>45944</v>
      </c>
      <c r="B57" s="2" t="s">
        <v>215</v>
      </c>
      <c r="C57" s="9">
        <v>45941</v>
      </c>
      <c r="D57" s="27">
        <v>45943</v>
      </c>
      <c r="E57" s="2" t="s">
        <v>10</v>
      </c>
      <c r="F57" s="3" t="s">
        <v>59</v>
      </c>
      <c r="G57" s="3" t="s">
        <v>40</v>
      </c>
      <c r="H57" s="3" t="s">
        <v>40</v>
      </c>
      <c r="I57" s="56" t="s">
        <v>91</v>
      </c>
      <c r="J57" s="36">
        <v>-9.6349699999999991</v>
      </c>
      <c r="K57" s="36">
        <v>16.649930000000001</v>
      </c>
      <c r="L57" s="3" t="s">
        <v>53</v>
      </c>
      <c r="M57" s="10">
        <v>15</v>
      </c>
      <c r="N57" s="2" t="s">
        <v>48</v>
      </c>
      <c r="O57" s="2" t="s">
        <v>51</v>
      </c>
      <c r="P57" s="2">
        <v>0</v>
      </c>
    </row>
    <row r="58" spans="1:18" ht="15.6" hidden="1" x14ac:dyDescent="0.3">
      <c r="A58" s="8">
        <v>45944</v>
      </c>
      <c r="B58" s="2" t="s">
        <v>216</v>
      </c>
      <c r="C58" s="9">
        <v>45941</v>
      </c>
      <c r="D58" s="27">
        <v>45943</v>
      </c>
      <c r="E58" s="2" t="s">
        <v>10</v>
      </c>
      <c r="F58" s="3" t="s">
        <v>59</v>
      </c>
      <c r="G58" s="3" t="s">
        <v>40</v>
      </c>
      <c r="H58" s="96" t="s">
        <v>92</v>
      </c>
      <c r="I58" s="56" t="s">
        <v>93</v>
      </c>
      <c r="J58" s="36">
        <v>-9.5213800000000006</v>
      </c>
      <c r="K58" s="36">
        <v>16.15784</v>
      </c>
      <c r="L58" s="3" t="s">
        <v>53</v>
      </c>
      <c r="M58" s="10">
        <v>10</v>
      </c>
      <c r="N58" s="2" t="s">
        <v>48</v>
      </c>
      <c r="O58" s="11" t="s">
        <v>52</v>
      </c>
      <c r="P58" s="11">
        <v>1</v>
      </c>
    </row>
    <row r="59" spans="1:18" ht="15.6" hidden="1" x14ac:dyDescent="0.3">
      <c r="A59" s="8">
        <v>45946</v>
      </c>
      <c r="B59" s="2">
        <v>4648</v>
      </c>
      <c r="C59" s="9">
        <v>45940</v>
      </c>
      <c r="D59" s="27">
        <v>45945</v>
      </c>
      <c r="E59" s="2" t="s">
        <v>10</v>
      </c>
      <c r="F59" s="3" t="s">
        <v>12</v>
      </c>
      <c r="G59" s="3" t="s">
        <v>300</v>
      </c>
      <c r="H59" s="96" t="s">
        <v>22</v>
      </c>
      <c r="I59" s="56" t="s">
        <v>22</v>
      </c>
      <c r="J59" s="33">
        <v>-12.1753</v>
      </c>
      <c r="K59" s="33">
        <v>14.98495</v>
      </c>
      <c r="L59" s="3" t="s">
        <v>53</v>
      </c>
      <c r="M59" s="10">
        <v>8</v>
      </c>
      <c r="N59" s="2" t="s">
        <v>48</v>
      </c>
      <c r="O59" s="11" t="s">
        <v>52</v>
      </c>
      <c r="P59" s="11">
        <v>4</v>
      </c>
    </row>
    <row r="60" spans="1:18" ht="15.6" hidden="1" x14ac:dyDescent="0.3">
      <c r="A60" s="8">
        <v>45946</v>
      </c>
      <c r="B60" s="2">
        <v>4651</v>
      </c>
      <c r="C60" s="9">
        <v>45939</v>
      </c>
      <c r="D60" s="27">
        <v>45945</v>
      </c>
      <c r="E60" s="2" t="s">
        <v>10</v>
      </c>
      <c r="F60" s="3" t="s">
        <v>33</v>
      </c>
      <c r="G60" s="3" t="s">
        <v>37</v>
      </c>
      <c r="H60" s="96" t="s">
        <v>37</v>
      </c>
      <c r="I60" s="56" t="s">
        <v>37</v>
      </c>
      <c r="J60" s="33">
        <v>-13.03129</v>
      </c>
      <c r="K60" s="33">
        <v>20.548190000000002</v>
      </c>
      <c r="L60" s="3" t="s">
        <v>53</v>
      </c>
      <c r="M60" s="10">
        <v>12</v>
      </c>
      <c r="N60" s="2" t="s">
        <v>48</v>
      </c>
      <c r="O60" s="11" t="s">
        <v>52</v>
      </c>
      <c r="P60" s="12">
        <v>1</v>
      </c>
    </row>
    <row r="61" spans="1:18" ht="15.6" hidden="1" x14ac:dyDescent="0.3">
      <c r="A61" s="8">
        <v>45947</v>
      </c>
      <c r="B61" s="2">
        <v>4649</v>
      </c>
      <c r="C61" s="9">
        <v>45939</v>
      </c>
      <c r="D61" s="27">
        <v>45946</v>
      </c>
      <c r="E61" s="2" t="s">
        <v>10</v>
      </c>
      <c r="F61" s="3" t="s">
        <v>33</v>
      </c>
      <c r="G61" s="3" t="s">
        <v>127</v>
      </c>
      <c r="H61" s="3" t="s">
        <v>127</v>
      </c>
      <c r="I61" s="56" t="s">
        <v>127</v>
      </c>
      <c r="J61" s="35">
        <v>-12.332890000000001</v>
      </c>
      <c r="K61" s="35">
        <v>20.47654</v>
      </c>
      <c r="L61" s="3" t="s">
        <v>53</v>
      </c>
      <c r="M61" s="10">
        <v>12</v>
      </c>
      <c r="N61" s="2" t="s">
        <v>48</v>
      </c>
      <c r="O61" s="2" t="s">
        <v>51</v>
      </c>
      <c r="P61" s="2">
        <v>0</v>
      </c>
    </row>
    <row r="62" spans="1:18" ht="15.6" hidden="1" x14ac:dyDescent="0.3">
      <c r="A62" s="8">
        <v>45950</v>
      </c>
      <c r="B62" s="2">
        <v>4653</v>
      </c>
      <c r="C62" s="9">
        <v>45941</v>
      </c>
      <c r="D62" s="27">
        <v>45947</v>
      </c>
      <c r="E62" s="2" t="s">
        <v>10</v>
      </c>
      <c r="F62" s="3" t="s">
        <v>12</v>
      </c>
      <c r="G62" s="3" t="s">
        <v>29</v>
      </c>
      <c r="H62" s="96" t="s">
        <v>29</v>
      </c>
      <c r="I62" s="56" t="s">
        <v>29</v>
      </c>
      <c r="J62" s="33">
        <v>-11.67943</v>
      </c>
      <c r="K62" s="33">
        <v>15.57203</v>
      </c>
      <c r="L62" s="3" t="s">
        <v>53</v>
      </c>
      <c r="M62" s="10">
        <v>11</v>
      </c>
      <c r="N62" s="2" t="s">
        <v>48</v>
      </c>
      <c r="O62" s="11" t="s">
        <v>52</v>
      </c>
      <c r="P62" s="11">
        <v>2</v>
      </c>
    </row>
    <row r="63" spans="1:18" ht="15.6" hidden="1" x14ac:dyDescent="0.3">
      <c r="A63" s="8">
        <v>45950</v>
      </c>
      <c r="B63" s="2" t="s">
        <v>217</v>
      </c>
      <c r="C63" s="9">
        <v>45941</v>
      </c>
      <c r="D63" s="27">
        <v>45950</v>
      </c>
      <c r="E63" s="2" t="s">
        <v>10</v>
      </c>
      <c r="F63" t="s">
        <v>14</v>
      </c>
      <c r="G63" t="s">
        <v>38</v>
      </c>
      <c r="H63" s="102" t="s">
        <v>94</v>
      </c>
      <c r="I63" s="60" t="s">
        <v>94</v>
      </c>
      <c r="J63" s="33">
        <v>-12.83029</v>
      </c>
      <c r="K63" s="33">
        <v>17.456099999999999</v>
      </c>
      <c r="L63" s="3" t="s">
        <v>53</v>
      </c>
      <c r="M63" s="10">
        <v>15</v>
      </c>
      <c r="N63" s="2" t="s">
        <v>48</v>
      </c>
      <c r="O63" s="11" t="s">
        <v>52</v>
      </c>
      <c r="P63" s="12">
        <v>4</v>
      </c>
    </row>
    <row r="64" spans="1:18" ht="15.6" hidden="1" x14ac:dyDescent="0.3">
      <c r="A64" s="8">
        <v>45950</v>
      </c>
      <c r="B64" s="2" t="s">
        <v>218</v>
      </c>
      <c r="C64" s="9">
        <v>45941</v>
      </c>
      <c r="D64" s="27">
        <v>45950</v>
      </c>
      <c r="E64" s="2" t="s">
        <v>10</v>
      </c>
      <c r="F64" s="3" t="s">
        <v>14</v>
      </c>
      <c r="G64" s="3" t="s">
        <v>38</v>
      </c>
      <c r="H64" s="96" t="s">
        <v>38</v>
      </c>
      <c r="I64" s="57" t="s">
        <v>38</v>
      </c>
      <c r="J64" s="33">
        <v>-13.20086</v>
      </c>
      <c r="K64" s="33">
        <v>17.48742</v>
      </c>
      <c r="L64" s="3" t="s">
        <v>54</v>
      </c>
      <c r="M64" s="10">
        <v>10</v>
      </c>
      <c r="N64" s="2" t="s">
        <v>48</v>
      </c>
      <c r="O64" s="11" t="s">
        <v>52</v>
      </c>
      <c r="P64" s="12">
        <v>2</v>
      </c>
    </row>
    <row r="65" spans="1:17" ht="15.6" hidden="1" x14ac:dyDescent="0.3">
      <c r="A65" s="8">
        <v>45952</v>
      </c>
      <c r="B65" s="2">
        <v>4657</v>
      </c>
      <c r="C65" s="9">
        <v>45947</v>
      </c>
      <c r="D65" s="27">
        <v>45950</v>
      </c>
      <c r="E65" s="2" t="s">
        <v>10</v>
      </c>
      <c r="F65" s="3" t="s">
        <v>59</v>
      </c>
      <c r="G65" s="3" t="s">
        <v>39</v>
      </c>
      <c r="H65" s="3" t="s">
        <v>39</v>
      </c>
      <c r="I65" s="56" t="s">
        <v>42</v>
      </c>
      <c r="J65" s="36">
        <v>-10.555020000000001</v>
      </c>
      <c r="K65" s="36">
        <v>16.333780000000001</v>
      </c>
      <c r="L65" s="3" t="s">
        <v>54</v>
      </c>
      <c r="M65" s="10">
        <v>7</v>
      </c>
      <c r="N65" s="2" t="s">
        <v>48</v>
      </c>
      <c r="O65" s="2" t="s">
        <v>51</v>
      </c>
      <c r="P65" s="2">
        <v>0</v>
      </c>
    </row>
    <row r="66" spans="1:17" ht="15.6" hidden="1" x14ac:dyDescent="0.3">
      <c r="A66" s="8">
        <v>45953</v>
      </c>
      <c r="B66" s="2" t="s">
        <v>211</v>
      </c>
      <c r="C66" s="9">
        <v>45949</v>
      </c>
      <c r="D66" s="27">
        <v>45953</v>
      </c>
      <c r="E66" s="9" t="s">
        <v>10</v>
      </c>
      <c r="F66" s="3" t="s">
        <v>11</v>
      </c>
      <c r="G66" s="3" t="s">
        <v>87</v>
      </c>
      <c r="H66" s="96" t="s">
        <v>149</v>
      </c>
      <c r="I66" s="56" t="s">
        <v>153</v>
      </c>
      <c r="J66" s="38" t="s">
        <v>155</v>
      </c>
      <c r="K66" s="38" t="s">
        <v>154</v>
      </c>
      <c r="L66" s="3" t="s">
        <v>56</v>
      </c>
      <c r="M66" s="10">
        <v>13</v>
      </c>
      <c r="N66" s="2" t="s">
        <v>48</v>
      </c>
      <c r="O66" s="11" t="s">
        <v>52</v>
      </c>
      <c r="P66" s="12">
        <v>3</v>
      </c>
    </row>
    <row r="67" spans="1:17" ht="15.6" hidden="1" x14ac:dyDescent="0.3">
      <c r="A67" s="8">
        <v>45953</v>
      </c>
      <c r="B67" s="2" t="s">
        <v>212</v>
      </c>
      <c r="C67" s="9">
        <v>45949</v>
      </c>
      <c r="D67" s="27">
        <v>45953</v>
      </c>
      <c r="E67" s="9" t="s">
        <v>10</v>
      </c>
      <c r="F67" s="3" t="s">
        <v>11</v>
      </c>
      <c r="G67" s="3" t="s">
        <v>87</v>
      </c>
      <c r="H67" s="96" t="s">
        <v>149</v>
      </c>
      <c r="I67" s="56" t="s">
        <v>150</v>
      </c>
      <c r="J67" s="38" t="s">
        <v>152</v>
      </c>
      <c r="K67" s="38" t="s">
        <v>151</v>
      </c>
      <c r="L67" s="3" t="s">
        <v>56</v>
      </c>
      <c r="M67" s="10">
        <v>9</v>
      </c>
      <c r="N67" s="2" t="s">
        <v>48</v>
      </c>
      <c r="O67" s="11" t="s">
        <v>52</v>
      </c>
      <c r="P67" s="12">
        <v>3</v>
      </c>
    </row>
    <row r="68" spans="1:17" ht="15.6" hidden="1" x14ac:dyDescent="0.3">
      <c r="A68" s="8">
        <v>45953</v>
      </c>
      <c r="B68" s="2" t="s">
        <v>213</v>
      </c>
      <c r="C68" s="9">
        <v>45949</v>
      </c>
      <c r="D68" s="27">
        <v>45953</v>
      </c>
      <c r="E68" s="9" t="s">
        <v>10</v>
      </c>
      <c r="F68" s="3" t="s">
        <v>11</v>
      </c>
      <c r="G68" s="3" t="s">
        <v>87</v>
      </c>
      <c r="H68" s="3" t="s">
        <v>149</v>
      </c>
      <c r="I68" s="56" t="s">
        <v>43</v>
      </c>
      <c r="J68" s="33" t="s">
        <v>157</v>
      </c>
      <c r="K68" s="33" t="s">
        <v>156</v>
      </c>
      <c r="L68" s="3" t="s">
        <v>56</v>
      </c>
      <c r="M68" s="10">
        <v>8</v>
      </c>
      <c r="N68" s="2" t="s">
        <v>48</v>
      </c>
      <c r="O68" s="2" t="s">
        <v>51</v>
      </c>
      <c r="P68" s="2">
        <v>0</v>
      </c>
    </row>
    <row r="69" spans="1:17" ht="15.6" hidden="1" x14ac:dyDescent="0.3">
      <c r="A69" s="8">
        <v>45953</v>
      </c>
      <c r="B69" s="2" t="s">
        <v>214</v>
      </c>
      <c r="C69" s="9">
        <v>45949</v>
      </c>
      <c r="D69" s="27">
        <v>45953</v>
      </c>
      <c r="E69" s="9" t="s">
        <v>10</v>
      </c>
      <c r="F69" s="3" t="s">
        <v>11</v>
      </c>
      <c r="G69" s="3" t="s">
        <v>87</v>
      </c>
      <c r="H69" s="96" t="s">
        <v>149</v>
      </c>
      <c r="I69" s="56" t="s">
        <v>158</v>
      </c>
      <c r="J69" s="38" t="s">
        <v>160</v>
      </c>
      <c r="K69" s="38" t="s">
        <v>159</v>
      </c>
      <c r="L69" s="3" t="s">
        <v>56</v>
      </c>
      <c r="M69" s="10">
        <v>8</v>
      </c>
      <c r="N69" s="2" t="s">
        <v>48</v>
      </c>
      <c r="O69" s="11" t="s">
        <v>52</v>
      </c>
      <c r="P69" s="12">
        <v>4</v>
      </c>
    </row>
    <row r="70" spans="1:17" ht="15.6" hidden="1" x14ac:dyDescent="0.3">
      <c r="A70" s="8">
        <v>45953</v>
      </c>
      <c r="B70" s="2">
        <v>4665</v>
      </c>
      <c r="C70" s="9">
        <v>45950</v>
      </c>
      <c r="D70" s="27">
        <v>45953</v>
      </c>
      <c r="E70" s="9" t="s">
        <v>10</v>
      </c>
      <c r="F70" s="3" t="s">
        <v>11</v>
      </c>
      <c r="G70" s="3" t="s">
        <v>41</v>
      </c>
      <c r="H70" s="3" t="s">
        <v>41</v>
      </c>
      <c r="I70" s="56" t="s">
        <v>97</v>
      </c>
      <c r="J70" s="35" t="s">
        <v>162</v>
      </c>
      <c r="K70" s="35" t="s">
        <v>161</v>
      </c>
      <c r="L70" s="3" t="s">
        <v>54</v>
      </c>
      <c r="M70" s="10">
        <v>15</v>
      </c>
      <c r="N70" s="2" t="s">
        <v>48</v>
      </c>
      <c r="O70" s="2" t="s">
        <v>51</v>
      </c>
      <c r="P70" s="2">
        <v>0</v>
      </c>
    </row>
    <row r="71" spans="1:17" ht="15.6" hidden="1" x14ac:dyDescent="0.3">
      <c r="A71" s="8">
        <v>45954</v>
      </c>
      <c r="B71" s="2">
        <v>4666</v>
      </c>
      <c r="C71" s="9">
        <v>45950</v>
      </c>
      <c r="D71" s="27">
        <v>45953</v>
      </c>
      <c r="E71" s="9" t="s">
        <v>10</v>
      </c>
      <c r="F71" s="3" t="s">
        <v>12</v>
      </c>
      <c r="G71" s="3" t="s">
        <v>27</v>
      </c>
      <c r="H71" s="96" t="s">
        <v>27</v>
      </c>
      <c r="I71" s="56" t="s">
        <v>98</v>
      </c>
      <c r="J71" s="33" t="s">
        <v>164</v>
      </c>
      <c r="K71" s="33" t="s">
        <v>163</v>
      </c>
      <c r="L71" s="3" t="s">
        <v>56</v>
      </c>
      <c r="M71" s="10">
        <v>12</v>
      </c>
      <c r="N71" s="2" t="s">
        <v>48</v>
      </c>
      <c r="O71" s="11" t="s">
        <v>52</v>
      </c>
      <c r="P71" s="11">
        <v>1</v>
      </c>
    </row>
    <row r="72" spans="1:17" ht="15.6" hidden="1" x14ac:dyDescent="0.3">
      <c r="A72" s="8">
        <v>45954</v>
      </c>
      <c r="B72" s="2">
        <v>4667</v>
      </c>
      <c r="C72" s="9">
        <v>45950</v>
      </c>
      <c r="D72" s="27">
        <v>45953</v>
      </c>
      <c r="E72" s="9" t="s">
        <v>10</v>
      </c>
      <c r="F72" s="3" t="s">
        <v>11</v>
      </c>
      <c r="G72" s="3" t="s">
        <v>95</v>
      </c>
      <c r="H72" s="3" t="s">
        <v>95</v>
      </c>
      <c r="I72" s="56" t="s">
        <v>99</v>
      </c>
      <c r="J72" s="33" t="s">
        <v>166</v>
      </c>
      <c r="K72" s="33" t="s">
        <v>165</v>
      </c>
      <c r="L72" s="3" t="s">
        <v>54</v>
      </c>
      <c r="M72" s="10">
        <v>14</v>
      </c>
      <c r="N72" s="2" t="s">
        <v>48</v>
      </c>
      <c r="O72" s="2" t="s">
        <v>51</v>
      </c>
      <c r="P72" s="2">
        <v>0</v>
      </c>
    </row>
    <row r="73" spans="1:17" ht="14.25" customHeight="1" x14ac:dyDescent="0.3">
      <c r="A73" s="8">
        <v>45954</v>
      </c>
      <c r="B73" s="2">
        <v>4668</v>
      </c>
      <c r="C73" s="9">
        <v>45953</v>
      </c>
      <c r="D73" s="27">
        <v>45953</v>
      </c>
      <c r="E73" s="9" t="s">
        <v>10</v>
      </c>
      <c r="F73" s="3" t="s">
        <v>1</v>
      </c>
      <c r="G73" s="3" t="s">
        <v>100</v>
      </c>
      <c r="H73" s="3" t="s">
        <v>167</v>
      </c>
      <c r="I73" s="56" t="s">
        <v>101</v>
      </c>
      <c r="J73" s="25">
        <v>-15.979100000000001</v>
      </c>
      <c r="K73" s="25">
        <v>17.786660000000001</v>
      </c>
      <c r="L73" s="3" t="s">
        <v>56</v>
      </c>
      <c r="M73" s="14">
        <v>21</v>
      </c>
      <c r="N73" s="13" t="s">
        <v>48</v>
      </c>
      <c r="O73" s="2" t="s">
        <v>51</v>
      </c>
      <c r="P73" s="2">
        <v>0</v>
      </c>
    </row>
    <row r="74" spans="1:17" ht="15.6" x14ac:dyDescent="0.3">
      <c r="A74" s="8">
        <v>45957</v>
      </c>
      <c r="B74" s="2">
        <v>4669</v>
      </c>
      <c r="C74" s="8">
        <v>45952</v>
      </c>
      <c r="D74" s="27">
        <v>45957</v>
      </c>
      <c r="E74" s="2" t="s">
        <v>10</v>
      </c>
      <c r="F74" s="3" t="s">
        <v>1</v>
      </c>
      <c r="G74" s="3" t="s">
        <v>132</v>
      </c>
      <c r="H74" s="3" t="s">
        <v>169</v>
      </c>
      <c r="I74" s="56" t="s">
        <v>168</v>
      </c>
      <c r="J74" s="33" t="s">
        <v>171</v>
      </c>
      <c r="K74" s="33" t="s">
        <v>170</v>
      </c>
      <c r="L74" s="3" t="s">
        <v>53</v>
      </c>
      <c r="M74" s="10">
        <v>17</v>
      </c>
      <c r="N74" s="2" t="s">
        <v>48</v>
      </c>
      <c r="O74" s="2" t="s">
        <v>51</v>
      </c>
      <c r="P74" s="2">
        <v>0</v>
      </c>
    </row>
    <row r="75" spans="1:17" ht="15.6" hidden="1" x14ac:dyDescent="0.3">
      <c r="A75" s="8">
        <v>45957</v>
      </c>
      <c r="B75" s="2" t="s">
        <v>219</v>
      </c>
      <c r="C75" s="9">
        <v>45951</v>
      </c>
      <c r="D75" s="27">
        <v>45957</v>
      </c>
      <c r="E75" s="2" t="s">
        <v>10</v>
      </c>
      <c r="F75" s="3" t="s">
        <v>12</v>
      </c>
      <c r="G75" s="3" t="s">
        <v>29</v>
      </c>
      <c r="H75" s="96" t="s">
        <v>29</v>
      </c>
      <c r="I75" s="56" t="s">
        <v>44</v>
      </c>
      <c r="J75" s="34" t="s">
        <v>173</v>
      </c>
      <c r="K75" s="34" t="s">
        <v>172</v>
      </c>
      <c r="L75" s="3" t="s">
        <v>53</v>
      </c>
      <c r="M75" s="10">
        <v>18</v>
      </c>
      <c r="N75" s="2" t="s">
        <v>48</v>
      </c>
      <c r="O75" s="11" t="s">
        <v>52</v>
      </c>
      <c r="P75" s="11">
        <v>4</v>
      </c>
    </row>
    <row r="76" spans="1:17" ht="15.6" hidden="1" x14ac:dyDescent="0.3">
      <c r="A76" s="8">
        <v>45957</v>
      </c>
      <c r="B76" s="2" t="s">
        <v>220</v>
      </c>
      <c r="C76" s="9">
        <v>45951</v>
      </c>
      <c r="D76" s="27">
        <v>45957</v>
      </c>
      <c r="E76" s="2" t="s">
        <v>10</v>
      </c>
      <c r="F76" s="3" t="s">
        <v>12</v>
      </c>
      <c r="G76" s="3" t="s">
        <v>29</v>
      </c>
      <c r="H76" s="3" t="s">
        <v>29</v>
      </c>
      <c r="I76" s="56" t="s">
        <v>174</v>
      </c>
      <c r="J76" s="35" t="s">
        <v>176</v>
      </c>
      <c r="K76" s="35" t="s">
        <v>175</v>
      </c>
      <c r="L76" s="3" t="s">
        <v>54</v>
      </c>
      <c r="M76" s="10">
        <v>15</v>
      </c>
      <c r="N76" s="2" t="s">
        <v>48</v>
      </c>
      <c r="O76" s="2" t="s">
        <v>51</v>
      </c>
      <c r="P76" s="2">
        <v>0</v>
      </c>
    </row>
    <row r="77" spans="1:17" ht="15.6" hidden="1" x14ac:dyDescent="0.3">
      <c r="A77" s="8">
        <v>45957</v>
      </c>
      <c r="B77" s="2">
        <v>4673</v>
      </c>
      <c r="C77" s="9">
        <v>45955</v>
      </c>
      <c r="D77" s="27">
        <v>45957</v>
      </c>
      <c r="E77" s="2" t="s">
        <v>10</v>
      </c>
      <c r="F77" s="3" t="s">
        <v>18</v>
      </c>
      <c r="G77" s="3" t="s">
        <v>105</v>
      </c>
      <c r="H77" s="3" t="s">
        <v>102</v>
      </c>
      <c r="I77" s="56" t="s">
        <v>102</v>
      </c>
      <c r="J77" s="33">
        <v>-12.3322</v>
      </c>
      <c r="K77" s="33">
        <v>17.24701</v>
      </c>
      <c r="L77" s="3" t="s">
        <v>53</v>
      </c>
      <c r="M77" s="10">
        <v>15</v>
      </c>
      <c r="N77" s="2" t="s">
        <v>48</v>
      </c>
      <c r="O77" s="2" t="s">
        <v>51</v>
      </c>
      <c r="P77" s="2">
        <v>0</v>
      </c>
      <c r="Q77" t="s">
        <v>46</v>
      </c>
    </row>
    <row r="78" spans="1:17" ht="15.6" hidden="1" x14ac:dyDescent="0.3">
      <c r="A78" s="8">
        <v>45957</v>
      </c>
      <c r="B78" s="2">
        <v>4676</v>
      </c>
      <c r="C78" s="9">
        <v>45953</v>
      </c>
      <c r="D78" s="27">
        <v>45957</v>
      </c>
      <c r="E78" s="2" t="s">
        <v>10</v>
      </c>
      <c r="F78" s="3" t="s">
        <v>11</v>
      </c>
      <c r="G78" s="3" t="s">
        <v>71</v>
      </c>
      <c r="H78" s="3" t="s">
        <v>71</v>
      </c>
      <c r="I78" s="56" t="s">
        <v>178</v>
      </c>
      <c r="J78" s="33" t="s">
        <v>179</v>
      </c>
      <c r="K78" s="33" t="s">
        <v>177</v>
      </c>
      <c r="L78" s="3" t="s">
        <v>56</v>
      </c>
      <c r="M78" s="10">
        <v>16</v>
      </c>
      <c r="N78" s="2" t="s">
        <v>48</v>
      </c>
      <c r="O78" s="2" t="s">
        <v>51</v>
      </c>
      <c r="P78" s="2">
        <v>0</v>
      </c>
    </row>
    <row r="79" spans="1:17" ht="15.6" hidden="1" x14ac:dyDescent="0.3">
      <c r="A79" s="8">
        <v>45957</v>
      </c>
      <c r="B79" s="2">
        <v>4677</v>
      </c>
      <c r="C79" s="9">
        <v>45955</v>
      </c>
      <c r="D79" s="27">
        <v>45957</v>
      </c>
      <c r="E79" s="2" t="s">
        <v>10</v>
      </c>
      <c r="F79" s="3" t="s">
        <v>14</v>
      </c>
      <c r="G79" s="3" t="s">
        <v>45</v>
      </c>
      <c r="H79" s="3" t="s">
        <v>45</v>
      </c>
      <c r="I79" s="57" t="s">
        <v>45</v>
      </c>
      <c r="J79" s="34">
        <v>-13.98414</v>
      </c>
      <c r="K79" s="34">
        <v>16.381070000000001</v>
      </c>
      <c r="L79" s="3" t="s">
        <v>53</v>
      </c>
      <c r="M79" s="10">
        <v>2</v>
      </c>
      <c r="N79" s="2" t="s">
        <v>48</v>
      </c>
      <c r="O79" s="17" t="s">
        <v>51</v>
      </c>
      <c r="P79" s="2">
        <v>0</v>
      </c>
    </row>
    <row r="80" spans="1:17" ht="15.6" hidden="1" x14ac:dyDescent="0.3">
      <c r="A80" s="8">
        <v>45959</v>
      </c>
      <c r="B80" s="2">
        <v>4680</v>
      </c>
      <c r="C80" s="9">
        <v>45955</v>
      </c>
      <c r="D80" s="27">
        <v>45958</v>
      </c>
      <c r="E80" s="2" t="s">
        <v>10</v>
      </c>
      <c r="F80" s="3" t="s">
        <v>59</v>
      </c>
      <c r="G80" s="3" t="s">
        <v>103</v>
      </c>
      <c r="H80" s="96" t="s">
        <v>180</v>
      </c>
      <c r="I80" s="56" t="s">
        <v>181</v>
      </c>
      <c r="J80" s="36" t="s">
        <v>183</v>
      </c>
      <c r="K80" s="36" t="s">
        <v>182</v>
      </c>
      <c r="L80" s="3" t="s">
        <v>54</v>
      </c>
      <c r="M80" s="10">
        <v>12</v>
      </c>
      <c r="N80" s="2" t="s">
        <v>48</v>
      </c>
      <c r="O80" s="11" t="s">
        <v>52</v>
      </c>
      <c r="P80" s="11">
        <v>2</v>
      </c>
    </row>
    <row r="81" spans="1:17" ht="15.6" hidden="1" x14ac:dyDescent="0.3">
      <c r="A81" s="8">
        <v>45959</v>
      </c>
      <c r="B81" s="2">
        <v>4681</v>
      </c>
      <c r="C81" s="9">
        <v>45954</v>
      </c>
      <c r="D81" s="27">
        <v>45958</v>
      </c>
      <c r="E81" s="2" t="s">
        <v>10</v>
      </c>
      <c r="F81" s="3" t="s">
        <v>59</v>
      </c>
      <c r="G81" s="3" t="s">
        <v>126</v>
      </c>
      <c r="H81" s="96" t="s">
        <v>86</v>
      </c>
      <c r="I81" s="56" t="s">
        <v>184</v>
      </c>
      <c r="J81" s="36" t="s">
        <v>186</v>
      </c>
      <c r="K81" s="36" t="s">
        <v>185</v>
      </c>
      <c r="L81" s="3" t="s">
        <v>57</v>
      </c>
      <c r="M81" s="10">
        <v>16</v>
      </c>
      <c r="N81" s="2" t="s">
        <v>48</v>
      </c>
      <c r="O81" s="11" t="s">
        <v>52</v>
      </c>
      <c r="P81" s="11">
        <v>1</v>
      </c>
    </row>
    <row r="82" spans="1:17" ht="15.6" hidden="1" x14ac:dyDescent="0.3">
      <c r="A82" s="8">
        <v>45961</v>
      </c>
      <c r="B82" s="2">
        <v>4683</v>
      </c>
      <c r="C82" s="42">
        <v>45956</v>
      </c>
      <c r="D82" s="28">
        <v>45960</v>
      </c>
      <c r="E82" s="2" t="s">
        <v>10</v>
      </c>
      <c r="F82" s="3" t="s">
        <v>14</v>
      </c>
      <c r="G82" s="3" t="s">
        <v>80</v>
      </c>
      <c r="H82" s="96" t="s">
        <v>80</v>
      </c>
      <c r="I82" s="57" t="s">
        <v>104</v>
      </c>
      <c r="J82" s="38" t="s">
        <v>188</v>
      </c>
      <c r="K82" s="38" t="s">
        <v>187</v>
      </c>
      <c r="L82" s="3" t="s">
        <v>57</v>
      </c>
      <c r="M82" s="10">
        <v>8</v>
      </c>
      <c r="N82" s="2" t="s">
        <v>48</v>
      </c>
      <c r="O82" s="11" t="s">
        <v>52</v>
      </c>
      <c r="P82" s="12">
        <v>2</v>
      </c>
    </row>
    <row r="83" spans="1:17" hidden="1" x14ac:dyDescent="0.3">
      <c r="A83" s="22">
        <v>45986</v>
      </c>
      <c r="B83" s="2">
        <v>4685</v>
      </c>
      <c r="C83" s="9">
        <v>45961</v>
      </c>
      <c r="D83" s="27">
        <v>45964</v>
      </c>
      <c r="E83" s="2" t="s">
        <v>10</v>
      </c>
      <c r="F83" s="3" t="s">
        <v>59</v>
      </c>
      <c r="G83" s="3" t="s">
        <v>126</v>
      </c>
      <c r="H83" s="96" t="s">
        <v>189</v>
      </c>
      <c r="I83" s="56" t="s">
        <v>190</v>
      </c>
      <c r="J83" s="36" t="s">
        <v>192</v>
      </c>
      <c r="K83" s="36" t="s">
        <v>191</v>
      </c>
      <c r="L83" s="3" t="s">
        <v>54</v>
      </c>
      <c r="M83" s="2">
        <v>18</v>
      </c>
      <c r="N83" s="4" t="s">
        <v>48</v>
      </c>
      <c r="O83" s="11" t="s">
        <v>52</v>
      </c>
      <c r="P83" s="11">
        <v>2</v>
      </c>
    </row>
    <row r="84" spans="1:17" hidden="1" x14ac:dyDescent="0.3">
      <c r="A84" s="22">
        <v>45986</v>
      </c>
      <c r="B84" s="2">
        <v>4691</v>
      </c>
      <c r="C84" s="9">
        <v>45958</v>
      </c>
      <c r="D84" s="27">
        <v>45966</v>
      </c>
      <c r="E84" s="2" t="s">
        <v>10</v>
      </c>
      <c r="F84" s="3" t="s">
        <v>12</v>
      </c>
      <c r="G84" s="3" t="s">
        <v>29</v>
      </c>
      <c r="H84" s="96" t="s">
        <v>29</v>
      </c>
      <c r="I84" s="56" t="s">
        <v>29</v>
      </c>
      <c r="J84" s="35" t="s">
        <v>194</v>
      </c>
      <c r="K84" s="35" t="s">
        <v>193</v>
      </c>
      <c r="L84" s="3" t="s">
        <v>54</v>
      </c>
      <c r="M84" s="2">
        <v>36</v>
      </c>
      <c r="N84" s="4" t="s">
        <v>48</v>
      </c>
      <c r="O84" s="11" t="s">
        <v>52</v>
      </c>
      <c r="P84" s="11">
        <v>6</v>
      </c>
    </row>
    <row r="85" spans="1:17" hidden="1" x14ac:dyDescent="0.3">
      <c r="A85" s="22">
        <v>45986</v>
      </c>
      <c r="B85" s="2">
        <v>4702</v>
      </c>
      <c r="C85" s="9">
        <v>45963</v>
      </c>
      <c r="D85" s="27">
        <v>45978</v>
      </c>
      <c r="E85" s="2" t="s">
        <v>10</v>
      </c>
      <c r="F85" s="3" t="s">
        <v>58</v>
      </c>
      <c r="G85" s="3" t="s">
        <v>25</v>
      </c>
      <c r="H85" s="3" t="s">
        <v>195</v>
      </c>
      <c r="I85" s="56" t="s">
        <v>196</v>
      </c>
      <c r="J85" s="33" t="s">
        <v>198</v>
      </c>
      <c r="K85" s="33" t="s">
        <v>197</v>
      </c>
      <c r="L85" s="3" t="s">
        <v>56</v>
      </c>
      <c r="M85" s="10">
        <v>10</v>
      </c>
      <c r="N85" s="2" t="s">
        <v>48</v>
      </c>
      <c r="O85" s="4" t="s">
        <v>51</v>
      </c>
      <c r="P85" s="2">
        <v>0</v>
      </c>
    </row>
    <row r="86" spans="1:17" hidden="1" x14ac:dyDescent="0.3">
      <c r="A86" s="22">
        <v>45986</v>
      </c>
      <c r="B86" s="2">
        <v>4707</v>
      </c>
      <c r="C86" s="9">
        <v>45978</v>
      </c>
      <c r="D86" s="27">
        <v>45981</v>
      </c>
      <c r="E86" s="2" t="s">
        <v>10</v>
      </c>
      <c r="F86" s="3" t="s">
        <v>14</v>
      </c>
      <c r="G86" s="3" t="s">
        <v>21</v>
      </c>
      <c r="H86" s="3" t="s">
        <v>21</v>
      </c>
      <c r="I86" s="57" t="s">
        <v>21</v>
      </c>
      <c r="J86" s="34">
        <v>-13.916665999999999</v>
      </c>
      <c r="K86" s="34">
        <v>17.05</v>
      </c>
      <c r="L86" s="3" t="s">
        <v>57</v>
      </c>
      <c r="M86" s="10">
        <v>68</v>
      </c>
      <c r="N86" s="2" t="s">
        <v>48</v>
      </c>
      <c r="O86" s="4" t="s">
        <v>51</v>
      </c>
      <c r="P86" s="2">
        <v>0</v>
      </c>
    </row>
    <row r="87" spans="1:17" ht="15.6" x14ac:dyDescent="0.3">
      <c r="A87" s="16">
        <v>45929</v>
      </c>
      <c r="B87" s="3"/>
      <c r="C87" s="16">
        <v>45926</v>
      </c>
      <c r="D87" s="3"/>
      <c r="E87" s="2" t="s">
        <v>10</v>
      </c>
      <c r="F87" s="48" t="s">
        <v>1</v>
      </c>
      <c r="G87" s="3" t="s">
        <v>132</v>
      </c>
      <c r="H87" s="96" t="s">
        <v>234</v>
      </c>
      <c r="I87" s="56" t="s">
        <v>235</v>
      </c>
      <c r="J87" s="36">
        <v>-15.34427</v>
      </c>
      <c r="K87" s="49">
        <v>16.82255</v>
      </c>
      <c r="L87" s="3" t="s">
        <v>273</v>
      </c>
      <c r="M87" s="53">
        <v>18</v>
      </c>
      <c r="N87" s="52" t="s">
        <v>272</v>
      </c>
      <c r="O87" s="11" t="s">
        <v>52</v>
      </c>
      <c r="P87" s="50">
        <v>17</v>
      </c>
      <c r="Q87" s="3" t="s">
        <v>236</v>
      </c>
    </row>
    <row r="88" spans="1:17" ht="15.6" hidden="1" x14ac:dyDescent="0.3">
      <c r="A88" s="16">
        <v>45929</v>
      </c>
      <c r="B88" s="3"/>
      <c r="C88" s="16">
        <v>45924</v>
      </c>
      <c r="D88" s="3"/>
      <c r="E88" s="2" t="s">
        <v>10</v>
      </c>
      <c r="F88" s="48" t="s">
        <v>14</v>
      </c>
      <c r="G88" s="3" t="s">
        <v>237</v>
      </c>
      <c r="H88" s="96" t="s">
        <v>237</v>
      </c>
      <c r="I88" s="56" t="s">
        <v>238</v>
      </c>
      <c r="J88" s="36">
        <v>-13.20086</v>
      </c>
      <c r="K88" s="49">
        <v>17.48742</v>
      </c>
      <c r="L88" s="3" t="s">
        <v>273</v>
      </c>
      <c r="M88" s="2">
        <v>10</v>
      </c>
      <c r="N88" s="52" t="s">
        <v>272</v>
      </c>
      <c r="O88" s="11" t="s">
        <v>52</v>
      </c>
      <c r="P88" s="12">
        <v>10</v>
      </c>
      <c r="Q88" s="3" t="s">
        <v>239</v>
      </c>
    </row>
    <row r="89" spans="1:17" ht="15.6" hidden="1" x14ac:dyDescent="0.3">
      <c r="A89" s="16">
        <v>45929</v>
      </c>
      <c r="B89" s="3"/>
      <c r="C89" s="16">
        <v>45926</v>
      </c>
      <c r="D89" s="3"/>
      <c r="E89" s="2" t="s">
        <v>10</v>
      </c>
      <c r="F89" s="48" t="s">
        <v>18</v>
      </c>
      <c r="G89" s="3" t="s">
        <v>240</v>
      </c>
      <c r="H89" s="96" t="s">
        <v>240</v>
      </c>
      <c r="I89" s="56" t="s">
        <v>241</v>
      </c>
      <c r="J89" s="36">
        <v>-11.38401</v>
      </c>
      <c r="K89" s="49">
        <v>18.485050000000001</v>
      </c>
      <c r="L89" s="3" t="s">
        <v>273</v>
      </c>
      <c r="M89" s="2">
        <v>14</v>
      </c>
      <c r="N89" s="52" t="s">
        <v>272</v>
      </c>
      <c r="O89" s="11" t="s">
        <v>52</v>
      </c>
      <c r="P89" s="12">
        <v>14</v>
      </c>
      <c r="Q89" s="3" t="s">
        <v>242</v>
      </c>
    </row>
    <row r="90" spans="1:17" ht="15.6" hidden="1" x14ac:dyDescent="0.3">
      <c r="A90" s="16">
        <v>45929</v>
      </c>
      <c r="B90" s="3"/>
      <c r="C90" s="16">
        <v>45926</v>
      </c>
      <c r="D90" s="3"/>
      <c r="E90" s="2" t="s">
        <v>10</v>
      </c>
      <c r="F90" s="48" t="s">
        <v>58</v>
      </c>
      <c r="G90" s="3" t="s">
        <v>243</v>
      </c>
      <c r="H90" s="96" t="s">
        <v>36</v>
      </c>
      <c r="I90" s="56" t="s">
        <v>243</v>
      </c>
      <c r="J90" s="2">
        <v>-7.2577199999999999</v>
      </c>
      <c r="K90" s="10">
        <v>16.613150000000001</v>
      </c>
      <c r="L90" s="3" t="s">
        <v>273</v>
      </c>
      <c r="M90" s="2">
        <v>4</v>
      </c>
      <c r="N90" s="52" t="s">
        <v>272</v>
      </c>
      <c r="O90" s="11" t="s">
        <v>52</v>
      </c>
      <c r="P90" s="12">
        <v>2</v>
      </c>
    </row>
    <row r="91" spans="1:17" ht="15.6" x14ac:dyDescent="0.3">
      <c r="A91" s="16">
        <v>45932</v>
      </c>
      <c r="B91" s="3"/>
      <c r="C91" s="16">
        <v>45930</v>
      </c>
      <c r="D91" s="3"/>
      <c r="E91" s="2" t="s">
        <v>10</v>
      </c>
      <c r="F91" s="48" t="s">
        <v>1</v>
      </c>
      <c r="G91" s="3" t="s">
        <v>244</v>
      </c>
      <c r="H91" s="96" t="s">
        <v>245</v>
      </c>
      <c r="I91" s="56" t="s">
        <v>246</v>
      </c>
      <c r="J91" s="36">
        <v>-15.243611111111111</v>
      </c>
      <c r="K91" s="49">
        <v>17.233333333333334</v>
      </c>
      <c r="L91" s="3" t="s">
        <v>273</v>
      </c>
      <c r="M91" s="2">
        <v>10</v>
      </c>
      <c r="N91" s="52" t="s">
        <v>272</v>
      </c>
      <c r="O91" s="11" t="s">
        <v>52</v>
      </c>
      <c r="P91" s="12">
        <v>6</v>
      </c>
    </row>
    <row r="92" spans="1:17" ht="15.6" hidden="1" x14ac:dyDescent="0.3">
      <c r="A92" s="16">
        <v>45932</v>
      </c>
      <c r="B92" s="3"/>
      <c r="C92" s="16">
        <v>45932</v>
      </c>
      <c r="D92" s="3"/>
      <c r="E92" s="2" t="s">
        <v>10</v>
      </c>
      <c r="F92" s="48" t="s">
        <v>130</v>
      </c>
      <c r="G92" s="3" t="s">
        <v>23</v>
      </c>
      <c r="H92" s="96" t="s">
        <v>301</v>
      </c>
      <c r="I92" s="56" t="s">
        <v>247</v>
      </c>
      <c r="J92" s="2">
        <v>-15.850239999999999</v>
      </c>
      <c r="K92" s="10">
        <v>18.057079999999999</v>
      </c>
      <c r="L92" s="3" t="s">
        <v>273</v>
      </c>
      <c r="M92" s="2">
        <v>37</v>
      </c>
      <c r="N92" s="52" t="s">
        <v>272</v>
      </c>
      <c r="O92" s="11" t="s">
        <v>52</v>
      </c>
      <c r="P92" s="12">
        <v>6</v>
      </c>
    </row>
    <row r="93" spans="1:17" ht="15.6" hidden="1" x14ac:dyDescent="0.3">
      <c r="A93" s="16">
        <v>45933</v>
      </c>
      <c r="B93" s="3"/>
      <c r="C93" s="16">
        <v>45932</v>
      </c>
      <c r="D93" s="3"/>
      <c r="E93" s="2" t="s">
        <v>10</v>
      </c>
      <c r="F93" s="48" t="s">
        <v>248</v>
      </c>
      <c r="G93" s="3" t="s">
        <v>67</v>
      </c>
      <c r="H93" s="3" t="s">
        <v>67</v>
      </c>
      <c r="I93" s="56" t="s">
        <v>249</v>
      </c>
      <c r="J93" s="2">
        <v>-15.56</v>
      </c>
      <c r="K93" s="10">
        <v>16.559999999999999</v>
      </c>
      <c r="L93" s="3" t="s">
        <v>273</v>
      </c>
      <c r="M93" s="2">
        <v>8</v>
      </c>
      <c r="N93" s="52" t="s">
        <v>272</v>
      </c>
      <c r="O93" s="2" t="s">
        <v>51</v>
      </c>
      <c r="P93" s="2">
        <v>0</v>
      </c>
    </row>
    <row r="94" spans="1:17" ht="15.6" hidden="1" x14ac:dyDescent="0.3">
      <c r="A94" s="16">
        <v>45934</v>
      </c>
      <c r="B94" s="3"/>
      <c r="C94" s="16">
        <v>45930</v>
      </c>
      <c r="D94" s="3"/>
      <c r="E94" s="2" t="s">
        <v>10</v>
      </c>
      <c r="F94" s="48" t="s">
        <v>58</v>
      </c>
      <c r="G94" s="3" t="s">
        <v>28</v>
      </c>
      <c r="H94" s="96" t="s">
        <v>28</v>
      </c>
      <c r="I94" s="56" t="s">
        <v>250</v>
      </c>
      <c r="J94" s="2">
        <v>-8.0952769</v>
      </c>
      <c r="K94" s="10">
        <v>16.2853569</v>
      </c>
      <c r="L94" s="3" t="s">
        <v>273</v>
      </c>
      <c r="M94" s="2">
        <v>26</v>
      </c>
      <c r="N94" s="52" t="s">
        <v>272</v>
      </c>
      <c r="O94" s="11" t="s">
        <v>52</v>
      </c>
      <c r="P94" s="12">
        <v>6</v>
      </c>
    </row>
    <row r="95" spans="1:17" ht="15.6" hidden="1" x14ac:dyDescent="0.3">
      <c r="A95" s="16">
        <v>45934</v>
      </c>
      <c r="B95" s="3"/>
      <c r="C95" s="16">
        <v>45928</v>
      </c>
      <c r="D95" s="3"/>
      <c r="E95" s="2" t="s">
        <v>10</v>
      </c>
      <c r="F95" s="48" t="s">
        <v>2</v>
      </c>
      <c r="G95" s="3" t="s">
        <v>3</v>
      </c>
      <c r="H95" s="3" t="s">
        <v>251</v>
      </c>
      <c r="I95" s="56" t="s">
        <v>252</v>
      </c>
      <c r="J95" s="36">
        <v>-11.531599999999999</v>
      </c>
      <c r="K95" s="49">
        <v>16.69717</v>
      </c>
      <c r="L95" s="3" t="s">
        <v>273</v>
      </c>
      <c r="M95" s="2">
        <v>13</v>
      </c>
      <c r="N95" s="52" t="s">
        <v>272</v>
      </c>
      <c r="O95" s="4" t="s">
        <v>51</v>
      </c>
      <c r="P95" s="2">
        <v>0</v>
      </c>
    </row>
    <row r="96" spans="1:17" ht="15.6" hidden="1" x14ac:dyDescent="0.3">
      <c r="A96" s="16">
        <v>45936</v>
      </c>
      <c r="B96" s="3"/>
      <c r="C96" s="16">
        <v>45931</v>
      </c>
      <c r="D96" s="3"/>
      <c r="E96" s="2" t="s">
        <v>10</v>
      </c>
      <c r="F96" s="48" t="s">
        <v>72</v>
      </c>
      <c r="G96" s="3" t="s">
        <v>78</v>
      </c>
      <c r="H96" s="3" t="s">
        <v>78</v>
      </c>
      <c r="I96" s="56" t="s">
        <v>253</v>
      </c>
      <c r="J96" s="36">
        <v>-17.052</v>
      </c>
      <c r="K96" s="49">
        <v>20.96238</v>
      </c>
      <c r="L96" s="3" t="s">
        <v>273</v>
      </c>
      <c r="M96" s="2">
        <v>10</v>
      </c>
      <c r="N96" s="52" t="s">
        <v>272</v>
      </c>
      <c r="O96" s="4" t="s">
        <v>51</v>
      </c>
      <c r="P96" s="2">
        <v>0</v>
      </c>
    </row>
    <row r="97" spans="1:17" ht="15.6" hidden="1" x14ac:dyDescent="0.3">
      <c r="A97" s="16">
        <v>45936</v>
      </c>
      <c r="B97" s="3"/>
      <c r="C97" s="16">
        <v>45934</v>
      </c>
      <c r="D97" s="3"/>
      <c r="E97" s="2" t="s">
        <v>10</v>
      </c>
      <c r="F97" s="48" t="s">
        <v>248</v>
      </c>
      <c r="G97" s="3" t="s">
        <v>67</v>
      </c>
      <c r="H97" s="96" t="s">
        <v>302</v>
      </c>
      <c r="I97" s="56" t="s">
        <v>67</v>
      </c>
      <c r="J97" s="2">
        <v>-16.00384</v>
      </c>
      <c r="K97" s="10">
        <v>18.111149999999999</v>
      </c>
      <c r="L97" s="3" t="s">
        <v>273</v>
      </c>
      <c r="M97" s="2">
        <v>22</v>
      </c>
      <c r="N97" s="52" t="s">
        <v>272</v>
      </c>
      <c r="O97" s="11" t="s">
        <v>52</v>
      </c>
      <c r="P97" s="12">
        <v>1</v>
      </c>
    </row>
    <row r="98" spans="1:17" ht="15.6" x14ac:dyDescent="0.3">
      <c r="A98" s="16">
        <v>45936</v>
      </c>
      <c r="B98" s="3"/>
      <c r="C98" s="16">
        <v>45932</v>
      </c>
      <c r="D98" s="3"/>
      <c r="E98" s="2" t="s">
        <v>10</v>
      </c>
      <c r="F98" s="48" t="s">
        <v>1</v>
      </c>
      <c r="G98" s="3" t="s">
        <v>132</v>
      </c>
      <c r="H98" s="96" t="s">
        <v>254</v>
      </c>
      <c r="I98" s="61" t="s">
        <v>255</v>
      </c>
      <c r="J98" s="36">
        <v>-14.8780555555556</v>
      </c>
      <c r="K98" s="49">
        <v>17.673055555555599</v>
      </c>
      <c r="L98" s="3" t="s">
        <v>273</v>
      </c>
      <c r="M98" s="2">
        <v>14</v>
      </c>
      <c r="N98" s="52" t="s">
        <v>272</v>
      </c>
      <c r="O98" s="11" t="s">
        <v>52</v>
      </c>
      <c r="P98" s="12">
        <v>3</v>
      </c>
    </row>
    <row r="99" spans="1:17" ht="15.6" hidden="1" x14ac:dyDescent="0.3">
      <c r="A99" s="16">
        <v>45937</v>
      </c>
      <c r="B99" s="3"/>
      <c r="C99" s="16">
        <v>45933</v>
      </c>
      <c r="D99" s="3"/>
      <c r="E99" s="2" t="s">
        <v>10</v>
      </c>
      <c r="F99" s="48" t="s">
        <v>58</v>
      </c>
      <c r="G99" s="3" t="s">
        <v>25</v>
      </c>
      <c r="H99" s="3" t="s">
        <v>25</v>
      </c>
      <c r="I99" s="56" t="s">
        <v>256</v>
      </c>
      <c r="J99" s="2">
        <v>-5.9458330000000004</v>
      </c>
      <c r="K99" s="10">
        <v>15.866111</v>
      </c>
      <c r="L99" s="3" t="s">
        <v>273</v>
      </c>
      <c r="M99" s="2">
        <v>10</v>
      </c>
      <c r="N99" s="52" t="s">
        <v>272</v>
      </c>
      <c r="O99" s="4" t="s">
        <v>51</v>
      </c>
      <c r="P99" s="2">
        <v>0</v>
      </c>
    </row>
    <row r="100" spans="1:17" ht="15.6" hidden="1" x14ac:dyDescent="0.3">
      <c r="A100" s="16">
        <v>45938</v>
      </c>
      <c r="B100" s="3"/>
      <c r="C100" s="16">
        <v>45935</v>
      </c>
      <c r="D100" s="3"/>
      <c r="E100" s="2" t="s">
        <v>10</v>
      </c>
      <c r="F100" s="48" t="s">
        <v>59</v>
      </c>
      <c r="G100" s="3" t="s">
        <v>40</v>
      </c>
      <c r="H100" s="96" t="s">
        <v>40</v>
      </c>
      <c r="I100" s="56" t="s">
        <v>40</v>
      </c>
      <c r="J100" s="36">
        <v>-10.17245</v>
      </c>
      <c r="K100" s="49">
        <v>16.39423</v>
      </c>
      <c r="L100" s="3" t="s">
        <v>273</v>
      </c>
      <c r="M100" s="2">
        <v>11</v>
      </c>
      <c r="N100" s="52" t="s">
        <v>272</v>
      </c>
      <c r="O100" s="11" t="s">
        <v>52</v>
      </c>
      <c r="P100" s="12">
        <v>1</v>
      </c>
    </row>
    <row r="101" spans="1:17" ht="15.6" hidden="1" x14ac:dyDescent="0.3">
      <c r="A101" s="16">
        <v>45938</v>
      </c>
      <c r="B101" s="3"/>
      <c r="C101" s="16">
        <v>45935</v>
      </c>
      <c r="D101" s="3"/>
      <c r="E101" s="2" t="s">
        <v>10</v>
      </c>
      <c r="F101" s="48" t="s">
        <v>33</v>
      </c>
      <c r="G101" s="3" t="s">
        <v>37</v>
      </c>
      <c r="H101" s="96" t="s">
        <v>257</v>
      </c>
      <c r="I101" s="56" t="s">
        <v>258</v>
      </c>
      <c r="J101" s="36">
        <v>-13.8331</v>
      </c>
      <c r="K101" s="49">
        <v>20.178920000000002</v>
      </c>
      <c r="L101" s="3" t="s">
        <v>273</v>
      </c>
      <c r="M101" s="2">
        <v>19</v>
      </c>
      <c r="N101" s="52" t="s">
        <v>272</v>
      </c>
      <c r="O101" s="11" t="s">
        <v>52</v>
      </c>
      <c r="P101" s="12">
        <v>1</v>
      </c>
    </row>
    <row r="102" spans="1:17" ht="15.6" hidden="1" x14ac:dyDescent="0.3">
      <c r="A102" s="16">
        <v>45945</v>
      </c>
      <c r="B102" s="3"/>
      <c r="C102" s="62">
        <v>45932</v>
      </c>
      <c r="D102" s="3"/>
      <c r="E102" s="2" t="s">
        <v>10</v>
      </c>
      <c r="F102" s="48" t="s">
        <v>59</v>
      </c>
      <c r="G102" s="3" t="s">
        <v>39</v>
      </c>
      <c r="H102" s="3" t="s">
        <v>259</v>
      </c>
      <c r="I102" s="56" t="s">
        <v>260</v>
      </c>
      <c r="J102" s="36">
        <v>-9.3043899999999997</v>
      </c>
      <c r="K102" s="49">
        <v>15.96909</v>
      </c>
      <c r="L102" s="3" t="s">
        <v>273</v>
      </c>
      <c r="M102" s="2">
        <v>10</v>
      </c>
      <c r="N102" s="52" t="s">
        <v>272</v>
      </c>
      <c r="O102" s="4" t="s">
        <v>51</v>
      </c>
      <c r="P102" s="2">
        <v>0</v>
      </c>
    </row>
    <row r="103" spans="1:17" ht="15.6" hidden="1" x14ac:dyDescent="0.3">
      <c r="A103" s="16">
        <v>45945</v>
      </c>
      <c r="B103" s="3"/>
      <c r="C103" s="16">
        <v>45942</v>
      </c>
      <c r="D103" s="3"/>
      <c r="E103" s="2" t="s">
        <v>10</v>
      </c>
      <c r="F103" s="48" t="s">
        <v>59</v>
      </c>
      <c r="G103" s="3" t="s">
        <v>39</v>
      </c>
      <c r="H103" s="3" t="s">
        <v>259</v>
      </c>
      <c r="I103" s="56" t="s">
        <v>261</v>
      </c>
      <c r="J103" s="36">
        <v>-9.2438888888888879</v>
      </c>
      <c r="K103" s="49">
        <v>15.9297222222222</v>
      </c>
      <c r="L103" s="3" t="s">
        <v>273</v>
      </c>
      <c r="M103" s="2">
        <v>12</v>
      </c>
      <c r="N103" s="52" t="s">
        <v>272</v>
      </c>
      <c r="O103" s="4" t="s">
        <v>51</v>
      </c>
      <c r="P103" s="2">
        <v>0</v>
      </c>
    </row>
    <row r="104" spans="1:17" ht="15.6" hidden="1" x14ac:dyDescent="0.3">
      <c r="A104" s="16">
        <v>45947</v>
      </c>
      <c r="B104" s="3"/>
      <c r="C104" s="62">
        <v>45939</v>
      </c>
      <c r="D104" s="3"/>
      <c r="E104" s="2" t="s">
        <v>10</v>
      </c>
      <c r="F104" s="48" t="s">
        <v>33</v>
      </c>
      <c r="G104" s="3" t="s">
        <v>37</v>
      </c>
      <c r="H104" s="3" t="s">
        <v>124</v>
      </c>
      <c r="I104" s="56" t="s">
        <v>262</v>
      </c>
      <c r="J104" s="36">
        <v>-13.510277777777778</v>
      </c>
      <c r="K104" s="49">
        <v>20.246666666666666</v>
      </c>
      <c r="L104" s="3" t="s">
        <v>273</v>
      </c>
      <c r="M104" s="2">
        <v>1</v>
      </c>
      <c r="N104" s="52" t="s">
        <v>272</v>
      </c>
      <c r="O104" s="4" t="s">
        <v>51</v>
      </c>
      <c r="P104" s="2">
        <v>0</v>
      </c>
    </row>
    <row r="105" spans="1:17" ht="15.6" hidden="1" x14ac:dyDescent="0.3">
      <c r="A105" s="16">
        <v>45947</v>
      </c>
      <c r="B105" s="3"/>
      <c r="C105" s="62">
        <v>45944</v>
      </c>
      <c r="D105" s="3"/>
      <c r="E105" s="2" t="s">
        <v>10</v>
      </c>
      <c r="F105" s="48" t="s">
        <v>58</v>
      </c>
      <c r="G105" s="3" t="s">
        <v>25</v>
      </c>
      <c r="H105" s="3" t="s">
        <v>263</v>
      </c>
      <c r="I105" s="56" t="s">
        <v>264</v>
      </c>
      <c r="J105" s="2">
        <v>-6.4322220000000003</v>
      </c>
      <c r="K105" s="10">
        <v>15.662222</v>
      </c>
      <c r="L105" s="3" t="s">
        <v>273</v>
      </c>
      <c r="M105" s="2">
        <v>12</v>
      </c>
      <c r="N105" s="52" t="s">
        <v>272</v>
      </c>
      <c r="O105" s="4" t="s">
        <v>51</v>
      </c>
      <c r="P105" s="2">
        <v>0</v>
      </c>
    </row>
    <row r="106" spans="1:17" ht="15.6" hidden="1" x14ac:dyDescent="0.3">
      <c r="A106" s="16">
        <v>45950</v>
      </c>
      <c r="B106" s="3"/>
      <c r="C106" s="16">
        <v>45944</v>
      </c>
      <c r="D106" s="3"/>
      <c r="E106" s="2" t="s">
        <v>10</v>
      </c>
      <c r="F106" s="48" t="s">
        <v>14</v>
      </c>
      <c r="G106" s="3" t="s">
        <v>237</v>
      </c>
      <c r="H106" s="3" t="s">
        <v>237</v>
      </c>
      <c r="I106" s="56" t="s">
        <v>265</v>
      </c>
      <c r="J106" s="36">
        <v>-12.8546</v>
      </c>
      <c r="K106" s="49">
        <v>17.082879999999999</v>
      </c>
      <c r="L106" s="3" t="s">
        <v>273</v>
      </c>
      <c r="M106" s="2">
        <v>10</v>
      </c>
      <c r="N106" s="52" t="s">
        <v>272</v>
      </c>
      <c r="O106" s="4" t="s">
        <v>51</v>
      </c>
      <c r="P106" s="2">
        <v>0</v>
      </c>
    </row>
    <row r="107" spans="1:17" ht="15.6" hidden="1" x14ac:dyDescent="0.3">
      <c r="A107" s="16">
        <v>45951</v>
      </c>
      <c r="B107" s="3"/>
      <c r="C107" s="62">
        <v>45947</v>
      </c>
      <c r="D107" s="3"/>
      <c r="E107" s="2" t="s">
        <v>10</v>
      </c>
      <c r="F107" s="48" t="s">
        <v>58</v>
      </c>
      <c r="G107" s="3" t="s">
        <v>266</v>
      </c>
      <c r="H107" s="3" t="s">
        <v>267</v>
      </c>
      <c r="I107" s="56" t="s">
        <v>267</v>
      </c>
      <c r="J107" s="2">
        <v>-7.0251999999999999</v>
      </c>
      <c r="K107" s="10">
        <v>15.53598</v>
      </c>
      <c r="L107" s="3" t="s">
        <v>273</v>
      </c>
      <c r="M107" s="2">
        <v>3</v>
      </c>
      <c r="N107" s="52" t="s">
        <v>272</v>
      </c>
      <c r="O107" s="4" t="s">
        <v>51</v>
      </c>
      <c r="P107" s="2">
        <v>0</v>
      </c>
    </row>
    <row r="108" spans="1:17" ht="15.6" hidden="1" x14ac:dyDescent="0.3">
      <c r="A108" s="16">
        <v>45951</v>
      </c>
      <c r="B108" s="3"/>
      <c r="C108" s="62">
        <v>45948</v>
      </c>
      <c r="D108" s="3"/>
      <c r="E108" s="2" t="s">
        <v>10</v>
      </c>
      <c r="F108" s="48" t="s">
        <v>59</v>
      </c>
      <c r="G108" s="3" t="s">
        <v>40</v>
      </c>
      <c r="H108" s="3" t="s">
        <v>268</v>
      </c>
      <c r="I108" s="61" t="s">
        <v>269</v>
      </c>
      <c r="J108" s="36">
        <v>-10.366666666666667</v>
      </c>
      <c r="K108" s="49">
        <v>15.983055555555556</v>
      </c>
      <c r="L108" s="3" t="s">
        <v>273</v>
      </c>
      <c r="M108" s="2">
        <v>12</v>
      </c>
      <c r="N108" s="52" t="s">
        <v>272</v>
      </c>
      <c r="O108" s="4" t="s">
        <v>51</v>
      </c>
      <c r="P108" s="2">
        <v>0</v>
      </c>
    </row>
    <row r="109" spans="1:17" ht="15.6" hidden="1" x14ac:dyDescent="0.3">
      <c r="A109" s="16">
        <v>45951</v>
      </c>
      <c r="B109" s="3"/>
      <c r="C109" s="62">
        <v>45947</v>
      </c>
      <c r="D109" s="3"/>
      <c r="E109" s="2" t="s">
        <v>10</v>
      </c>
      <c r="F109" s="48" t="s">
        <v>59</v>
      </c>
      <c r="G109" s="3" t="s">
        <v>103</v>
      </c>
      <c r="H109" s="3" t="s">
        <v>270</v>
      </c>
      <c r="I109" s="61" t="s">
        <v>271</v>
      </c>
      <c r="J109" s="36">
        <v>-9.0749999999999993</v>
      </c>
      <c r="K109" s="49">
        <v>16.445</v>
      </c>
      <c r="L109" s="3" t="s">
        <v>273</v>
      </c>
      <c r="M109" s="2">
        <v>20</v>
      </c>
      <c r="N109" s="52" t="s">
        <v>272</v>
      </c>
      <c r="O109" s="4" t="s">
        <v>51</v>
      </c>
      <c r="P109" s="2">
        <v>0</v>
      </c>
    </row>
    <row r="110" spans="1:17" ht="15.6" hidden="1" x14ac:dyDescent="0.3">
      <c r="A110" s="69">
        <v>45938</v>
      </c>
      <c r="B110" s="70">
        <v>4630</v>
      </c>
      <c r="C110" s="68">
        <v>45919</v>
      </c>
      <c r="D110" s="68">
        <v>45937</v>
      </c>
      <c r="E110" s="2" t="s">
        <v>10</v>
      </c>
      <c r="F110" s="4" t="s">
        <v>59</v>
      </c>
      <c r="G110" s="4" t="s">
        <v>40</v>
      </c>
      <c r="H110" s="99" t="s">
        <v>275</v>
      </c>
      <c r="I110" s="71" t="s">
        <v>275</v>
      </c>
      <c r="J110" s="4" t="s">
        <v>276</v>
      </c>
      <c r="K110" s="4" t="s">
        <v>277</v>
      </c>
      <c r="L110" s="71" t="s">
        <v>53</v>
      </c>
      <c r="M110" s="72">
        <v>15</v>
      </c>
      <c r="N110" s="4" t="s">
        <v>48</v>
      </c>
      <c r="O110" s="11" t="s">
        <v>52</v>
      </c>
      <c r="P110" s="12">
        <v>2</v>
      </c>
      <c r="Q110" s="4" t="s">
        <v>274</v>
      </c>
    </row>
    <row r="111" spans="1:17" ht="15.6" hidden="1" x14ac:dyDescent="0.3">
      <c r="A111" s="69">
        <v>45929</v>
      </c>
      <c r="B111" s="70">
        <v>4570</v>
      </c>
      <c r="C111" s="68">
        <v>45923</v>
      </c>
      <c r="D111" s="68">
        <v>45926</v>
      </c>
      <c r="E111" s="2" t="s">
        <v>10</v>
      </c>
      <c r="F111" s="4" t="s">
        <v>59</v>
      </c>
      <c r="G111" s="4" t="s">
        <v>126</v>
      </c>
      <c r="H111" s="99" t="s">
        <v>86</v>
      </c>
      <c r="I111" s="71" t="s">
        <v>278</v>
      </c>
      <c r="J111" s="4" t="s">
        <v>279</v>
      </c>
      <c r="K111" s="4" t="s">
        <v>280</v>
      </c>
      <c r="L111" s="71" t="s">
        <v>53</v>
      </c>
      <c r="M111" s="72">
        <v>15</v>
      </c>
      <c r="N111" s="4" t="s">
        <v>48</v>
      </c>
      <c r="O111" s="11" t="s">
        <v>52</v>
      </c>
      <c r="P111" s="12">
        <v>3</v>
      </c>
      <c r="Q111" s="4" t="s">
        <v>274</v>
      </c>
    </row>
    <row r="112" spans="1:17" s="112" customFormat="1" ht="15.6" x14ac:dyDescent="0.3">
      <c r="A112" s="103">
        <v>45952</v>
      </c>
      <c r="B112" s="104">
        <v>4661</v>
      </c>
      <c r="C112" s="113">
        <v>45895</v>
      </c>
      <c r="D112" s="113">
        <v>45951</v>
      </c>
      <c r="E112" s="105" t="s">
        <v>10</v>
      </c>
      <c r="F112" s="111" t="s">
        <v>1</v>
      </c>
      <c r="G112" s="111" t="s">
        <v>19</v>
      </c>
      <c r="H112" s="114" t="s">
        <v>281</v>
      </c>
      <c r="I112" s="114" t="s">
        <v>282</v>
      </c>
      <c r="J112" s="111" t="s">
        <v>283</v>
      </c>
      <c r="K112" s="111" t="s">
        <v>284</v>
      </c>
      <c r="L112" s="114" t="s">
        <v>53</v>
      </c>
      <c r="M112" s="115">
        <v>15</v>
      </c>
      <c r="N112" s="111" t="s">
        <v>48</v>
      </c>
      <c r="O112" s="116" t="s">
        <v>52</v>
      </c>
      <c r="P112" s="117">
        <v>2</v>
      </c>
      <c r="Q112" s="111" t="s">
        <v>274</v>
      </c>
    </row>
    <row r="113" spans="1:19" ht="15.6" hidden="1" x14ac:dyDescent="0.3">
      <c r="A113" s="69">
        <v>45930</v>
      </c>
      <c r="B113" s="70">
        <v>4577</v>
      </c>
      <c r="C113" s="68">
        <v>45915</v>
      </c>
      <c r="D113" s="68">
        <v>45929</v>
      </c>
      <c r="E113" s="2" t="s">
        <v>10</v>
      </c>
      <c r="F113" s="4" t="s">
        <v>14</v>
      </c>
      <c r="G113" s="4" t="s">
        <v>286</v>
      </c>
      <c r="H113" s="99" t="s">
        <v>287</v>
      </c>
      <c r="I113" s="71" t="s">
        <v>288</v>
      </c>
      <c r="J113" s="4" t="s">
        <v>289</v>
      </c>
      <c r="K113" s="4" t="s">
        <v>290</v>
      </c>
      <c r="L113" s="71" t="s">
        <v>53</v>
      </c>
      <c r="M113" s="72">
        <v>15</v>
      </c>
      <c r="N113" s="4" t="s">
        <v>48</v>
      </c>
      <c r="O113" s="11" t="s">
        <v>52</v>
      </c>
      <c r="P113" s="12">
        <v>1</v>
      </c>
      <c r="Q113" s="4" t="s">
        <v>285</v>
      </c>
    </row>
    <row r="114" spans="1:19" ht="15.6" hidden="1" x14ac:dyDescent="0.3">
      <c r="A114" s="74">
        <v>45985</v>
      </c>
      <c r="B114" s="75">
        <v>4710</v>
      </c>
      <c r="C114" s="69">
        <v>45968</v>
      </c>
      <c r="D114" s="69">
        <v>45985</v>
      </c>
      <c r="E114" s="2" t="s">
        <v>10</v>
      </c>
      <c r="F114" s="76" t="s">
        <v>12</v>
      </c>
      <c r="G114" s="76" t="s">
        <v>22</v>
      </c>
      <c r="H114" s="93" t="s">
        <v>291</v>
      </c>
      <c r="I114" s="77" t="s">
        <v>292</v>
      </c>
      <c r="J114" s="76" t="s">
        <v>293</v>
      </c>
      <c r="K114" s="76" t="s">
        <v>294</v>
      </c>
      <c r="L114" s="77" t="s">
        <v>53</v>
      </c>
      <c r="M114" s="78">
        <v>15</v>
      </c>
      <c r="N114" s="76" t="s">
        <v>48</v>
      </c>
      <c r="O114" s="79" t="s">
        <v>52</v>
      </c>
      <c r="P114" s="80">
        <v>2</v>
      </c>
      <c r="Q114" s="4" t="s">
        <v>285</v>
      </c>
    </row>
    <row r="115" spans="1:19" s="112" customFormat="1" ht="15.6" x14ac:dyDescent="0.3">
      <c r="A115" s="103">
        <v>45979</v>
      </c>
      <c r="B115" s="104">
        <v>4705</v>
      </c>
      <c r="C115" s="103">
        <v>45958</v>
      </c>
      <c r="D115" s="103">
        <v>45979</v>
      </c>
      <c r="E115" s="105" t="s">
        <v>10</v>
      </c>
      <c r="F115" s="106" t="s">
        <v>1</v>
      </c>
      <c r="G115" s="106" t="s">
        <v>19</v>
      </c>
      <c r="H115" s="107" t="s">
        <v>281</v>
      </c>
      <c r="I115" s="107" t="s">
        <v>282</v>
      </c>
      <c r="J115" s="106" t="s">
        <v>283</v>
      </c>
      <c r="K115" s="106" t="s">
        <v>284</v>
      </c>
      <c r="L115" s="107" t="s">
        <v>53</v>
      </c>
      <c r="M115" s="108">
        <v>15</v>
      </c>
      <c r="N115" s="106" t="s">
        <v>48</v>
      </c>
      <c r="O115" s="109" t="s">
        <v>52</v>
      </c>
      <c r="P115" s="110">
        <v>1</v>
      </c>
      <c r="Q115" s="111" t="s">
        <v>285</v>
      </c>
      <c r="S115" s="112" t="s">
        <v>299</v>
      </c>
    </row>
    <row r="116" spans="1:19" ht="15.6" hidden="1" x14ac:dyDescent="0.3">
      <c r="A116" s="81">
        <v>45952</v>
      </c>
      <c r="B116" s="82">
        <v>4675</v>
      </c>
      <c r="C116" s="81">
        <v>45941</v>
      </c>
      <c r="D116" s="81">
        <v>45956</v>
      </c>
      <c r="E116" s="83" t="s">
        <v>10</v>
      </c>
      <c r="F116" s="84" t="s">
        <v>18</v>
      </c>
      <c r="G116" s="84" t="s">
        <v>105</v>
      </c>
      <c r="H116" s="101" t="s">
        <v>295</v>
      </c>
      <c r="I116" s="85" t="s">
        <v>296</v>
      </c>
      <c r="J116" s="84" t="s">
        <v>297</v>
      </c>
      <c r="K116" s="84" t="s">
        <v>298</v>
      </c>
      <c r="L116" s="85" t="s">
        <v>53</v>
      </c>
      <c r="M116" s="86">
        <v>12</v>
      </c>
      <c r="N116" s="84" t="s">
        <v>48</v>
      </c>
      <c r="O116" s="87" t="s">
        <v>52</v>
      </c>
      <c r="P116" s="88">
        <v>1</v>
      </c>
      <c r="Q116" s="89" t="s">
        <v>285</v>
      </c>
    </row>
    <row r="117" spans="1:19" s="64" customFormat="1" x14ac:dyDescent="0.3">
      <c r="A117" s="63"/>
      <c r="D117" s="90"/>
      <c r="E117" s="51"/>
      <c r="I117" s="66"/>
      <c r="J117" s="51"/>
      <c r="K117" s="51"/>
      <c r="M117" s="67"/>
      <c r="P117" s="51"/>
      <c r="Q117" s="91"/>
    </row>
    <row r="118" spans="1:19" s="64" customFormat="1" x14ac:dyDescent="0.3">
      <c r="A118" s="63"/>
      <c r="D118" s="65"/>
      <c r="E118" s="51"/>
      <c r="I118" s="66"/>
      <c r="J118" s="51"/>
      <c r="K118" s="51"/>
      <c r="M118" s="67"/>
      <c r="P118" s="51"/>
      <c r="Q118" s="91"/>
    </row>
    <row r="119" spans="1:19" s="64" customFormat="1" x14ac:dyDescent="0.3">
      <c r="A119" s="63"/>
      <c r="D119" s="65"/>
      <c r="E119" s="51"/>
      <c r="I119" s="66"/>
      <c r="J119" s="51"/>
      <c r="K119" s="51"/>
      <c r="M119" s="67"/>
      <c r="P119" s="51"/>
      <c r="Q119" s="91"/>
    </row>
    <row r="120" spans="1:19" s="64" customFormat="1" ht="15.6" x14ac:dyDescent="0.3">
      <c r="A120" s="63"/>
      <c r="D120" s="65"/>
      <c r="E120" s="92"/>
      <c r="I120" s="66"/>
      <c r="J120" s="51"/>
      <c r="K120" s="51"/>
      <c r="M120" s="67"/>
      <c r="P120" s="51"/>
      <c r="Q120" s="91"/>
    </row>
    <row r="121" spans="1:19" s="64" customFormat="1" ht="15.6" x14ac:dyDescent="0.3">
      <c r="A121" s="63"/>
      <c r="D121" s="65"/>
      <c r="E121" s="92"/>
      <c r="I121" s="66"/>
      <c r="J121" s="51"/>
      <c r="K121" s="51"/>
      <c r="M121" s="67"/>
      <c r="P121" s="51"/>
    </row>
    <row r="122" spans="1:19" s="90" customFormat="1" ht="15.6" x14ac:dyDescent="0.3">
      <c r="E122" s="92"/>
    </row>
    <row r="123" spans="1:19" s="73" customFormat="1" x14ac:dyDescent="0.3"/>
    <row r="124" spans="1:19" s="73" customFormat="1" x14ac:dyDescent="0.3"/>
  </sheetData>
  <autoFilter ref="A1:R116" xr:uid="{00000000-0001-0000-0000-000000000000}">
    <filterColumn colId="5">
      <filters>
        <filter val="Trarza"/>
      </filters>
    </filterColumn>
  </autoFilter>
  <phoneticPr fontId="7" type="noConversion"/>
  <dataValidations count="1">
    <dataValidation allowBlank="1" showInputMessage="1" showErrorMessage="1" promptTitle="- xx, yyyyyyy" sqref="J87:J109" xr:uid="{1ECA1EEA-2472-4C68-865A-5B9611667646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348E-5182-4591-8E8A-F1EA774B7957}">
  <dimension ref="A1:M41"/>
  <sheetViews>
    <sheetView workbookViewId="0">
      <selection activeCell="I23" sqref="I23"/>
    </sheetView>
  </sheetViews>
  <sheetFormatPr baseColWidth="10" defaultRowHeight="14.4" x14ac:dyDescent="0.3"/>
  <cols>
    <col min="1" max="1" width="25.5546875" customWidth="1"/>
    <col min="4" max="4" width="33.6640625" customWidth="1"/>
    <col min="6" max="6" width="26.109375" customWidth="1"/>
    <col min="7" max="7" width="11.5546875" style="100"/>
  </cols>
  <sheetData>
    <row r="1" spans="1:13" x14ac:dyDescent="0.3">
      <c r="A1" s="7" t="s">
        <v>306</v>
      </c>
      <c r="B1" s="7" t="s">
        <v>63</v>
      </c>
      <c r="C1" s="118" t="s">
        <v>303</v>
      </c>
      <c r="D1" s="118" t="s">
        <v>305</v>
      </c>
      <c r="E1" s="118" t="s">
        <v>304</v>
      </c>
      <c r="F1" s="134" t="s">
        <v>307</v>
      </c>
    </row>
    <row r="2" spans="1:13" x14ac:dyDescent="0.3">
      <c r="A2" t="s">
        <v>33</v>
      </c>
      <c r="B2" t="s">
        <v>37</v>
      </c>
      <c r="C2" s="18">
        <v>2</v>
      </c>
    </row>
    <row r="3" spans="1:13" x14ac:dyDescent="0.3">
      <c r="A3" t="s">
        <v>2</v>
      </c>
      <c r="B3" t="s">
        <v>77</v>
      </c>
      <c r="C3" s="18">
        <v>0</v>
      </c>
      <c r="D3">
        <v>1</v>
      </c>
      <c r="E3">
        <v>1</v>
      </c>
      <c r="F3">
        <v>2</v>
      </c>
    </row>
    <row r="4" spans="1:13" x14ac:dyDescent="0.3">
      <c r="A4" t="s">
        <v>2</v>
      </c>
      <c r="B4" t="s">
        <v>3</v>
      </c>
      <c r="C4" s="18">
        <v>2</v>
      </c>
      <c r="D4">
        <v>5</v>
      </c>
      <c r="E4">
        <v>3</v>
      </c>
      <c r="F4">
        <v>8</v>
      </c>
    </row>
    <row r="5" spans="1:13" x14ac:dyDescent="0.3">
      <c r="A5" t="s">
        <v>2</v>
      </c>
      <c r="B5" t="s">
        <v>107</v>
      </c>
      <c r="C5" s="18">
        <v>2</v>
      </c>
    </row>
    <row r="6" spans="1:13" x14ac:dyDescent="0.3">
      <c r="A6" t="s">
        <v>2</v>
      </c>
      <c r="B6" t="s">
        <v>26</v>
      </c>
      <c r="C6" s="18">
        <v>1</v>
      </c>
    </row>
    <row r="7" spans="1:13" x14ac:dyDescent="0.3">
      <c r="A7" t="s">
        <v>14</v>
      </c>
      <c r="B7" t="s">
        <v>231</v>
      </c>
      <c r="C7" s="18">
        <v>1</v>
      </c>
      <c r="D7">
        <v>0</v>
      </c>
      <c r="E7" s="64">
        <v>0</v>
      </c>
      <c r="F7" s="126">
        <v>0</v>
      </c>
      <c r="G7" s="126"/>
    </row>
    <row r="8" spans="1:13" x14ac:dyDescent="0.3">
      <c r="A8" s="125" t="s">
        <v>14</v>
      </c>
      <c r="B8" s="125" t="s">
        <v>21</v>
      </c>
      <c r="C8" s="130">
        <v>4</v>
      </c>
      <c r="D8" s="125">
        <v>3</v>
      </c>
      <c r="E8" s="131">
        <v>1</v>
      </c>
      <c r="F8" s="131">
        <v>4</v>
      </c>
      <c r="G8" s="126"/>
    </row>
    <row r="9" spans="1:13" x14ac:dyDescent="0.3">
      <c r="A9" s="122" t="s">
        <v>14</v>
      </c>
      <c r="B9" s="122" t="s">
        <v>80</v>
      </c>
      <c r="C9" s="123">
        <v>8</v>
      </c>
      <c r="D9" s="125">
        <v>6</v>
      </c>
      <c r="E9" s="124">
        <v>2</v>
      </c>
      <c r="F9" s="124">
        <v>8</v>
      </c>
      <c r="G9" s="126"/>
      <c r="H9" s="64"/>
    </row>
    <row r="10" spans="1:13" x14ac:dyDescent="0.3">
      <c r="A10" s="119" t="s">
        <v>72</v>
      </c>
      <c r="B10" s="119" t="s">
        <v>78</v>
      </c>
      <c r="C10" s="121">
        <v>1</v>
      </c>
      <c r="D10">
        <v>0</v>
      </c>
      <c r="E10" s="64">
        <v>1</v>
      </c>
      <c r="F10" s="126">
        <v>1</v>
      </c>
      <c r="G10" s="126"/>
      <c r="H10" s="64"/>
    </row>
    <row r="11" spans="1:13" x14ac:dyDescent="0.3">
      <c r="A11" s="119" t="s">
        <v>11</v>
      </c>
      <c r="B11" s="119" t="s">
        <v>95</v>
      </c>
      <c r="C11" s="121">
        <v>1</v>
      </c>
      <c r="D11" s="64">
        <v>0</v>
      </c>
      <c r="E11" s="64">
        <v>1</v>
      </c>
      <c r="F11" s="126">
        <v>1</v>
      </c>
      <c r="G11" s="126"/>
      <c r="H11" s="64"/>
    </row>
    <row r="12" spans="1:13" x14ac:dyDescent="0.3">
      <c r="A12" s="119" t="s">
        <v>11</v>
      </c>
      <c r="B12" s="119" t="s">
        <v>71</v>
      </c>
      <c r="C12" s="121">
        <v>3</v>
      </c>
      <c r="D12" s="64"/>
      <c r="E12" s="64"/>
      <c r="F12" s="64"/>
      <c r="G12" s="126"/>
      <c r="H12" s="64"/>
    </row>
    <row r="13" spans="1:13" x14ac:dyDescent="0.3">
      <c r="A13" s="119" t="s">
        <v>11</v>
      </c>
      <c r="B13" s="119" t="s">
        <v>87</v>
      </c>
      <c r="C13" s="121">
        <v>5</v>
      </c>
      <c r="D13" s="64">
        <v>4</v>
      </c>
      <c r="E13" s="64">
        <v>0</v>
      </c>
      <c r="F13" s="64">
        <v>4</v>
      </c>
      <c r="G13" s="126"/>
      <c r="H13" s="64"/>
    </row>
    <row r="14" spans="1:13" x14ac:dyDescent="0.3">
      <c r="A14" s="119" t="s">
        <v>12</v>
      </c>
      <c r="B14" s="119" t="s">
        <v>300</v>
      </c>
      <c r="C14" s="121">
        <v>3</v>
      </c>
      <c r="D14" s="126">
        <v>1</v>
      </c>
      <c r="E14" s="126">
        <v>1</v>
      </c>
      <c r="F14" s="126">
        <v>2</v>
      </c>
      <c r="G14" s="126"/>
      <c r="H14" s="64"/>
    </row>
    <row r="15" spans="1:13" x14ac:dyDescent="0.3">
      <c r="A15" s="119" t="s">
        <v>12</v>
      </c>
      <c r="B15" s="119" t="s">
        <v>29</v>
      </c>
      <c r="C15" s="121">
        <v>3</v>
      </c>
      <c r="D15" s="64"/>
      <c r="E15" s="64"/>
      <c r="F15" s="64"/>
      <c r="G15" s="126"/>
      <c r="H15" s="64"/>
    </row>
    <row r="16" spans="1:13" x14ac:dyDescent="0.3">
      <c r="A16" s="120" t="s">
        <v>12</v>
      </c>
      <c r="B16" s="120" t="s">
        <v>22</v>
      </c>
      <c r="C16" s="121">
        <v>1</v>
      </c>
      <c r="D16" s="64"/>
      <c r="E16" s="64"/>
      <c r="F16" s="64"/>
      <c r="G16" s="126"/>
      <c r="H16" s="64"/>
      <c r="K16" s="64"/>
      <c r="L16" s="64"/>
      <c r="M16" s="64"/>
    </row>
    <row r="17" spans="1:13" x14ac:dyDescent="0.3">
      <c r="A17" s="119" t="s">
        <v>58</v>
      </c>
      <c r="B17" s="119" t="s">
        <v>28</v>
      </c>
      <c r="C17" s="121">
        <v>4</v>
      </c>
      <c r="D17" s="64"/>
      <c r="E17" s="64"/>
      <c r="F17" s="64"/>
      <c r="G17" s="126"/>
      <c r="H17" s="64"/>
      <c r="K17" s="64"/>
      <c r="L17" s="64"/>
      <c r="M17" s="64"/>
    </row>
    <row r="18" spans="1:13" s="100" customFormat="1" x14ac:dyDescent="0.3">
      <c r="A18" s="122" t="s">
        <v>58</v>
      </c>
      <c r="B18" s="122" t="s">
        <v>243</v>
      </c>
      <c r="C18" s="123">
        <v>1</v>
      </c>
      <c r="D18" s="124">
        <v>1</v>
      </c>
      <c r="E18" s="124">
        <v>0</v>
      </c>
      <c r="F18" s="124">
        <v>1</v>
      </c>
      <c r="G18" s="126"/>
      <c r="H18" s="126"/>
      <c r="K18" s="126"/>
      <c r="L18" s="126"/>
      <c r="M18" s="126"/>
    </row>
    <row r="19" spans="1:13" x14ac:dyDescent="0.3">
      <c r="A19" s="119" t="s">
        <v>59</v>
      </c>
      <c r="B19" s="119" t="s">
        <v>40</v>
      </c>
      <c r="C19" s="121">
        <v>6</v>
      </c>
      <c r="D19" s="64">
        <v>1</v>
      </c>
      <c r="E19" s="64">
        <v>0</v>
      </c>
      <c r="F19" s="64">
        <v>1</v>
      </c>
      <c r="G19" s="126"/>
      <c r="H19" s="64"/>
      <c r="K19" s="67"/>
      <c r="L19" s="133"/>
      <c r="M19" s="64"/>
    </row>
    <row r="20" spans="1:13" x14ac:dyDescent="0.3">
      <c r="A20" s="119" t="s">
        <v>59</v>
      </c>
      <c r="B20" s="119" t="s">
        <v>126</v>
      </c>
      <c r="C20" s="121">
        <v>5</v>
      </c>
      <c r="D20" s="64">
        <v>1</v>
      </c>
      <c r="E20" s="64">
        <v>0</v>
      </c>
      <c r="F20" s="64">
        <v>1</v>
      </c>
      <c r="G20" s="126"/>
      <c r="H20" s="64"/>
      <c r="K20" s="67"/>
      <c r="L20" s="133"/>
      <c r="M20" s="64"/>
    </row>
    <row r="21" spans="1:13" x14ac:dyDescent="0.3">
      <c r="A21" s="119" t="s">
        <v>59</v>
      </c>
      <c r="B21" s="119" t="s">
        <v>103</v>
      </c>
      <c r="C21" s="121">
        <v>1</v>
      </c>
      <c r="D21" s="64"/>
      <c r="E21" s="64"/>
      <c r="F21" s="64"/>
      <c r="G21" s="126"/>
      <c r="H21" s="64"/>
      <c r="K21" s="64"/>
      <c r="L21" s="64"/>
      <c r="M21" s="64"/>
    </row>
    <row r="22" spans="1:13" x14ac:dyDescent="0.3">
      <c r="A22" s="119" t="s">
        <v>130</v>
      </c>
      <c r="B22" s="119" t="s">
        <v>23</v>
      </c>
      <c r="C22" s="121">
        <v>1</v>
      </c>
      <c r="D22" s="126">
        <v>1</v>
      </c>
      <c r="E22" s="126">
        <v>0</v>
      </c>
      <c r="F22" s="126">
        <v>1</v>
      </c>
      <c r="G22" s="126"/>
      <c r="H22" s="64"/>
      <c r="K22" s="64"/>
      <c r="L22" s="64"/>
      <c r="M22" s="64"/>
    </row>
    <row r="23" spans="1:13" x14ac:dyDescent="0.3">
      <c r="A23" s="119" t="s">
        <v>130</v>
      </c>
      <c r="B23" s="119" t="s">
        <v>310</v>
      </c>
      <c r="C23" s="121">
        <v>0</v>
      </c>
      <c r="D23" s="126">
        <v>1</v>
      </c>
      <c r="E23" s="126">
        <v>0</v>
      </c>
      <c r="F23" s="126">
        <v>1</v>
      </c>
      <c r="G23" s="126"/>
      <c r="H23" s="64"/>
      <c r="K23" s="64"/>
      <c r="L23" s="64"/>
      <c r="M23" s="64"/>
    </row>
    <row r="24" spans="1:13" x14ac:dyDescent="0.3">
      <c r="A24" s="119" t="s">
        <v>68</v>
      </c>
      <c r="B24" s="119" t="s">
        <v>67</v>
      </c>
      <c r="C24" s="121">
        <v>1</v>
      </c>
      <c r="D24" s="126">
        <v>4</v>
      </c>
      <c r="E24" s="126">
        <v>0</v>
      </c>
      <c r="F24" s="126">
        <v>4</v>
      </c>
      <c r="G24" s="126"/>
      <c r="H24" s="64"/>
    </row>
    <row r="25" spans="1:13" x14ac:dyDescent="0.3">
      <c r="A25" s="119" t="s">
        <v>308</v>
      </c>
      <c r="B25" s="119" t="s">
        <v>309</v>
      </c>
      <c r="C25" s="121">
        <v>0</v>
      </c>
      <c r="D25" s="126">
        <v>1</v>
      </c>
      <c r="E25" s="126">
        <v>0</v>
      </c>
      <c r="F25" s="126">
        <v>1</v>
      </c>
      <c r="G25" s="126"/>
      <c r="H25" s="64"/>
    </row>
    <row r="26" spans="1:13" x14ac:dyDescent="0.3">
      <c r="A26" s="119" t="s">
        <v>18</v>
      </c>
      <c r="B26" s="119" t="s">
        <v>240</v>
      </c>
      <c r="C26" s="121">
        <v>2</v>
      </c>
      <c r="D26" s="126"/>
      <c r="E26" s="126"/>
      <c r="F26" s="126"/>
      <c r="G26" s="126"/>
    </row>
    <row r="27" spans="1:13" x14ac:dyDescent="0.3">
      <c r="A27" s="132" t="s">
        <v>18</v>
      </c>
      <c r="B27" s="132" t="s">
        <v>105</v>
      </c>
      <c r="C27" s="123">
        <v>1</v>
      </c>
      <c r="D27" s="124">
        <v>0</v>
      </c>
      <c r="E27" s="124">
        <v>1</v>
      </c>
      <c r="F27" s="124">
        <v>1</v>
      </c>
      <c r="G27" s="126"/>
    </row>
    <row r="28" spans="1:13" x14ac:dyDescent="0.3">
      <c r="A28" s="122" t="s">
        <v>1</v>
      </c>
      <c r="B28" s="122" t="s">
        <v>19</v>
      </c>
      <c r="C28" s="123">
        <v>4</v>
      </c>
      <c r="D28" s="124">
        <v>7</v>
      </c>
      <c r="E28" s="124">
        <v>4</v>
      </c>
      <c r="F28" s="124">
        <v>11</v>
      </c>
      <c r="G28" s="126"/>
    </row>
    <row r="29" spans="1:13" x14ac:dyDescent="0.3">
      <c r="A29" s="119" t="s">
        <v>1</v>
      </c>
      <c r="B29" s="119" t="s">
        <v>109</v>
      </c>
      <c r="C29" s="121">
        <v>2</v>
      </c>
      <c r="D29" s="126">
        <v>0</v>
      </c>
      <c r="E29" s="126">
        <v>0</v>
      </c>
      <c r="F29" s="126">
        <v>0</v>
      </c>
      <c r="G29" s="126"/>
    </row>
    <row r="30" spans="1:13" x14ac:dyDescent="0.3">
      <c r="A30" s="122" t="s">
        <v>1</v>
      </c>
      <c r="B30" s="122" t="s">
        <v>65</v>
      </c>
      <c r="C30" s="123">
        <v>2</v>
      </c>
      <c r="D30" s="124">
        <v>1</v>
      </c>
      <c r="E30" s="124">
        <v>0</v>
      </c>
      <c r="F30" s="124">
        <v>1</v>
      </c>
      <c r="G30" s="126"/>
    </row>
    <row r="31" spans="1:13" x14ac:dyDescent="0.3">
      <c r="A31" s="119" t="s">
        <v>1</v>
      </c>
      <c r="B31" s="119" t="s">
        <v>132</v>
      </c>
      <c r="C31" s="121">
        <v>2</v>
      </c>
      <c r="D31" s="126">
        <v>0</v>
      </c>
      <c r="E31" s="126">
        <v>0</v>
      </c>
      <c r="F31" s="126">
        <v>0</v>
      </c>
      <c r="G31" s="126"/>
    </row>
    <row r="32" spans="1:13" x14ac:dyDescent="0.3">
      <c r="A32" s="64"/>
      <c r="B32" s="64"/>
      <c r="D32" s="126">
        <f>SUM(D2:D31)</f>
        <v>38</v>
      </c>
      <c r="E32" s="126">
        <f>SUM(E2:E31)</f>
        <v>15</v>
      </c>
      <c r="F32" s="126">
        <f>SUM(F2:F31)</f>
        <v>53</v>
      </c>
      <c r="G32" s="126"/>
    </row>
    <row r="33" spans="1:7" ht="15.6" x14ac:dyDescent="0.3">
      <c r="A33" s="64"/>
      <c r="B33" s="133"/>
      <c r="D33" s="126"/>
      <c r="E33" s="127"/>
      <c r="F33" s="126"/>
      <c r="G33" s="126"/>
    </row>
    <row r="34" spans="1:7" ht="15.6" x14ac:dyDescent="0.3">
      <c r="A34" s="64"/>
      <c r="B34" s="64"/>
      <c r="D34" s="126"/>
      <c r="E34" s="127"/>
      <c r="F34" s="126"/>
      <c r="G34" s="126"/>
    </row>
    <row r="35" spans="1:7" ht="15.6" x14ac:dyDescent="0.3">
      <c r="D35" s="126"/>
      <c r="E35" s="127"/>
      <c r="F35" s="126"/>
      <c r="G35" s="126"/>
    </row>
    <row r="36" spans="1:7" x14ac:dyDescent="0.3">
      <c r="D36" s="126"/>
      <c r="E36" s="128"/>
      <c r="F36" s="128"/>
      <c r="G36" s="126"/>
    </row>
    <row r="37" spans="1:7" ht="15.6" x14ac:dyDescent="0.3">
      <c r="D37" s="126"/>
      <c r="E37" s="129"/>
      <c r="F37" s="129"/>
      <c r="G37" s="126"/>
    </row>
    <row r="38" spans="1:7" x14ac:dyDescent="0.3">
      <c r="D38" s="126"/>
      <c r="E38" s="126"/>
      <c r="F38" s="126"/>
      <c r="G38" s="126"/>
    </row>
    <row r="39" spans="1:7" x14ac:dyDescent="0.3">
      <c r="D39" s="126"/>
      <c r="E39" s="126"/>
      <c r="F39" s="126"/>
      <c r="G39" s="126"/>
    </row>
    <row r="40" spans="1:7" x14ac:dyDescent="0.3">
      <c r="D40" s="126"/>
      <c r="E40" s="126"/>
      <c r="F40" s="126"/>
      <c r="G40" s="126"/>
    </row>
    <row r="41" spans="1:7" x14ac:dyDescent="0.3">
      <c r="D41" s="100"/>
      <c r="E41" s="100"/>
      <c r="F41" s="10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AA2F-1A0C-4CEA-9051-AA18199C6796}">
  <dimension ref="A1:AX117"/>
  <sheetViews>
    <sheetView tabSelected="1" workbookViewId="0">
      <selection activeCell="C22" sqref="C22"/>
    </sheetView>
  </sheetViews>
  <sheetFormatPr baseColWidth="10" defaultColWidth="12.109375" defaultRowHeight="14.4" x14ac:dyDescent="0.3"/>
  <cols>
    <col min="1" max="1" width="22.6640625" style="19" customWidth="1"/>
    <col min="2" max="2" width="20.6640625" style="19" customWidth="1"/>
    <col min="3" max="5" width="16.33203125" style="19" customWidth="1"/>
    <col min="6" max="6" width="21.77734375" style="19" customWidth="1"/>
    <col min="7" max="7" width="14.33203125" style="19" customWidth="1"/>
    <col min="8" max="8" width="22.44140625" style="19" customWidth="1"/>
    <col min="9" max="9" width="19.5546875" style="19" customWidth="1"/>
    <col min="10" max="11" width="21.21875" style="19" customWidth="1"/>
    <col min="12" max="12" width="17.88671875" style="19" customWidth="1"/>
    <col min="13" max="13" width="22.88671875" style="19" customWidth="1"/>
    <col min="14" max="14" width="25.6640625" style="19" customWidth="1"/>
    <col min="15" max="15" width="10.33203125" style="19" customWidth="1"/>
    <col min="16" max="16" width="13.33203125" style="19" customWidth="1"/>
    <col min="17" max="16384" width="12.109375" style="19"/>
  </cols>
  <sheetData>
    <row r="1" spans="1:50" s="137" customFormat="1" ht="42" customHeight="1" x14ac:dyDescent="0.3">
      <c r="A1" s="135" t="s">
        <v>306</v>
      </c>
      <c r="B1" s="135" t="s">
        <v>63</v>
      </c>
      <c r="C1" s="135" t="s">
        <v>311</v>
      </c>
      <c r="D1" s="135" t="s">
        <v>312</v>
      </c>
      <c r="E1" s="135" t="s">
        <v>313</v>
      </c>
      <c r="F1" s="135" t="s">
        <v>314</v>
      </c>
      <c r="G1" s="135" t="s">
        <v>315</v>
      </c>
      <c r="H1" s="135" t="s">
        <v>316</v>
      </c>
      <c r="I1" s="135" t="s">
        <v>317</v>
      </c>
      <c r="J1" s="135" t="s">
        <v>318</v>
      </c>
      <c r="K1" s="135" t="s">
        <v>319</v>
      </c>
      <c r="L1" s="135" t="s">
        <v>320</v>
      </c>
      <c r="M1" s="135" t="s">
        <v>321</v>
      </c>
      <c r="N1" s="135" t="s">
        <v>322</v>
      </c>
      <c r="O1" s="136" t="s">
        <v>10</v>
      </c>
      <c r="P1" s="136"/>
    </row>
    <row r="2" spans="1:50" ht="14.7" customHeight="1" x14ac:dyDescent="0.3">
      <c r="A2" s="10" t="s">
        <v>323</v>
      </c>
      <c r="B2" s="138" t="s">
        <v>324</v>
      </c>
      <c r="C2" s="138" t="s">
        <v>324</v>
      </c>
      <c r="D2" s="25">
        <v>-7.0227500000000003</v>
      </c>
      <c r="E2" s="25">
        <v>17.296790000000001</v>
      </c>
      <c r="F2" s="46" t="s">
        <v>325</v>
      </c>
      <c r="G2" s="46"/>
      <c r="H2" s="139">
        <v>45929</v>
      </c>
      <c r="I2" s="140"/>
      <c r="J2" s="46">
        <v>1</v>
      </c>
      <c r="K2" s="46">
        <v>0</v>
      </c>
      <c r="L2" s="46" t="s">
        <v>326</v>
      </c>
      <c r="M2" s="46"/>
      <c r="N2" s="141"/>
    </row>
    <row r="3" spans="1:50" ht="16.95" customHeight="1" x14ac:dyDescent="0.3">
      <c r="A3" s="10" t="s">
        <v>323</v>
      </c>
      <c r="B3" s="138" t="s">
        <v>327</v>
      </c>
      <c r="C3" s="138" t="s">
        <v>327</v>
      </c>
      <c r="D3" s="25">
        <v>-8.2468400000000006</v>
      </c>
      <c r="E3" s="25">
        <v>15.61975</v>
      </c>
      <c r="F3" s="46" t="s">
        <v>325</v>
      </c>
      <c r="G3" s="46"/>
      <c r="H3" s="139">
        <v>45931</v>
      </c>
      <c r="I3" s="140"/>
      <c r="J3" s="46">
        <v>1</v>
      </c>
      <c r="K3" s="46">
        <v>0</v>
      </c>
      <c r="L3" s="46" t="s">
        <v>326</v>
      </c>
      <c r="M3" s="142"/>
      <c r="N3" s="141"/>
      <c r="O3" s="143" t="s">
        <v>328</v>
      </c>
    </row>
    <row r="4" spans="1:50" ht="16.95" customHeight="1" x14ac:dyDescent="0.3">
      <c r="A4" s="10" t="s">
        <v>323</v>
      </c>
      <c r="B4" s="138" t="s">
        <v>243</v>
      </c>
      <c r="C4" s="138" t="s">
        <v>329</v>
      </c>
      <c r="D4" s="25">
        <v>-7.0796900000000003</v>
      </c>
      <c r="E4" s="25">
        <v>15.72763</v>
      </c>
      <c r="F4" s="46" t="s">
        <v>330</v>
      </c>
      <c r="G4" s="46"/>
      <c r="H4" s="139">
        <v>45961</v>
      </c>
      <c r="I4" s="140"/>
      <c r="J4" s="46">
        <v>2</v>
      </c>
      <c r="K4" s="46">
        <v>0</v>
      </c>
      <c r="L4" s="46" t="s">
        <v>326</v>
      </c>
      <c r="M4" s="142"/>
      <c r="N4" s="141"/>
      <c r="O4" s="143"/>
    </row>
    <row r="5" spans="1:50" ht="16.95" customHeight="1" x14ac:dyDescent="0.3">
      <c r="A5" s="10" t="s">
        <v>323</v>
      </c>
      <c r="B5" s="138" t="s">
        <v>243</v>
      </c>
      <c r="C5" s="138" t="s">
        <v>331</v>
      </c>
      <c r="D5" s="25">
        <v>-7.2577199999999999</v>
      </c>
      <c r="E5" s="25">
        <v>16.613150000000001</v>
      </c>
      <c r="F5" s="46" t="s">
        <v>332</v>
      </c>
      <c r="G5" s="46"/>
      <c r="H5" s="139">
        <v>45959</v>
      </c>
      <c r="I5" s="140"/>
      <c r="J5" s="46">
        <v>3</v>
      </c>
      <c r="K5" s="46">
        <v>1</v>
      </c>
      <c r="L5" s="46" t="s">
        <v>326</v>
      </c>
      <c r="M5" s="142"/>
      <c r="N5" s="141"/>
      <c r="O5" s="143"/>
    </row>
    <row r="6" spans="1:50" ht="16.95" customHeight="1" x14ac:dyDescent="0.3">
      <c r="A6" s="10" t="s">
        <v>323</v>
      </c>
      <c r="B6" s="138" t="s">
        <v>25</v>
      </c>
      <c r="C6" s="138" t="s">
        <v>25</v>
      </c>
      <c r="D6" s="25">
        <v>-7.76396</v>
      </c>
      <c r="E6" s="25">
        <v>15.754390000000001</v>
      </c>
      <c r="F6" s="46" t="s">
        <v>333</v>
      </c>
      <c r="G6" s="46"/>
      <c r="H6" s="139">
        <v>45933</v>
      </c>
      <c r="I6" s="140">
        <v>45934</v>
      </c>
      <c r="J6" s="46">
        <v>1</v>
      </c>
      <c r="K6" s="46">
        <v>0</v>
      </c>
      <c r="L6" s="144" t="s">
        <v>334</v>
      </c>
      <c r="M6" s="145">
        <v>45934</v>
      </c>
      <c r="N6" s="140"/>
      <c r="O6" s="146"/>
    </row>
    <row r="7" spans="1:50" x14ac:dyDescent="0.3">
      <c r="A7" s="10" t="s">
        <v>335</v>
      </c>
      <c r="B7" s="138" t="s">
        <v>336</v>
      </c>
      <c r="C7" s="138" t="s">
        <v>337</v>
      </c>
      <c r="D7" s="25">
        <v>-15.828279999999999</v>
      </c>
      <c r="E7" s="25">
        <v>16.6797</v>
      </c>
      <c r="F7" s="46" t="s">
        <v>338</v>
      </c>
      <c r="G7" s="46"/>
      <c r="H7" s="139">
        <v>45926</v>
      </c>
      <c r="I7" s="140">
        <v>45926</v>
      </c>
      <c r="J7" s="147">
        <v>0</v>
      </c>
      <c r="K7" s="147">
        <v>1</v>
      </c>
      <c r="L7" s="144" t="s">
        <v>334</v>
      </c>
      <c r="M7" s="148">
        <v>45926</v>
      </c>
      <c r="N7" s="149"/>
      <c r="O7" s="150">
        <f>28/95</f>
        <v>0.29473684210526313</v>
      </c>
      <c r="P7" s="151" t="s">
        <v>339</v>
      </c>
    </row>
    <row r="8" spans="1:50" ht="15" customHeight="1" x14ac:dyDescent="0.3">
      <c r="A8" s="10" t="s">
        <v>335</v>
      </c>
      <c r="B8" s="138" t="s">
        <v>336</v>
      </c>
      <c r="C8" s="138" t="s">
        <v>340</v>
      </c>
      <c r="D8" s="25">
        <v>-15.80782</v>
      </c>
      <c r="E8" s="25">
        <v>16.564260000000001</v>
      </c>
      <c r="F8" s="46" t="s">
        <v>338</v>
      </c>
      <c r="G8" s="46"/>
      <c r="H8" s="139">
        <v>45931</v>
      </c>
      <c r="I8" s="140"/>
      <c r="J8" s="46">
        <v>1</v>
      </c>
      <c r="K8" s="46">
        <v>0</v>
      </c>
      <c r="L8" s="46" t="s">
        <v>326</v>
      </c>
      <c r="M8" s="142"/>
      <c r="N8" s="141"/>
    </row>
    <row r="9" spans="1:50" ht="15" customHeight="1" x14ac:dyDescent="0.3">
      <c r="A9" s="10" t="s">
        <v>335</v>
      </c>
      <c r="B9" s="138" t="s">
        <v>65</v>
      </c>
      <c r="C9" s="138" t="s">
        <v>341</v>
      </c>
      <c r="D9" s="25">
        <v>-15.3108</v>
      </c>
      <c r="E9" s="25">
        <v>16.818290000000001</v>
      </c>
      <c r="F9" s="46" t="s">
        <v>342</v>
      </c>
      <c r="G9" s="46" t="s">
        <v>343</v>
      </c>
      <c r="H9" s="139">
        <v>45936</v>
      </c>
      <c r="I9" s="140">
        <v>45935</v>
      </c>
      <c r="J9" s="46">
        <v>1</v>
      </c>
      <c r="K9" s="46">
        <v>0</v>
      </c>
      <c r="L9" s="46" t="s">
        <v>326</v>
      </c>
      <c r="M9" s="142"/>
      <c r="N9" s="141"/>
      <c r="O9" s="146"/>
      <c r="P9" s="151"/>
    </row>
    <row r="10" spans="1:50" ht="15" customHeight="1" x14ac:dyDescent="0.3">
      <c r="A10" s="10" t="s">
        <v>335</v>
      </c>
      <c r="B10" s="138" t="s">
        <v>132</v>
      </c>
      <c r="C10" s="138" t="s">
        <v>344</v>
      </c>
      <c r="D10" s="25">
        <v>-14.65236</v>
      </c>
      <c r="E10" s="25">
        <v>17.62285</v>
      </c>
      <c r="F10" s="46" t="s">
        <v>345</v>
      </c>
      <c r="G10" s="46"/>
      <c r="H10" s="139">
        <v>45942</v>
      </c>
      <c r="I10" s="140">
        <v>45942</v>
      </c>
      <c r="J10" s="46">
        <v>1</v>
      </c>
      <c r="K10" s="46">
        <v>0</v>
      </c>
      <c r="L10" s="46" t="s">
        <v>326</v>
      </c>
      <c r="M10" s="142"/>
      <c r="N10" s="141"/>
      <c r="O10" s="146"/>
      <c r="P10" s="151"/>
    </row>
    <row r="11" spans="1:50" ht="15" customHeight="1" x14ac:dyDescent="0.3">
      <c r="A11" s="10" t="s">
        <v>335</v>
      </c>
      <c r="B11" s="138" t="s">
        <v>346</v>
      </c>
      <c r="C11" s="138" t="s">
        <v>346</v>
      </c>
      <c r="D11" s="25">
        <v>-15.73382</v>
      </c>
      <c r="E11" s="25">
        <v>16.981940000000002</v>
      </c>
      <c r="F11" s="46" t="s">
        <v>347</v>
      </c>
      <c r="G11" s="46"/>
      <c r="H11" s="139">
        <v>45931</v>
      </c>
      <c r="I11" s="140"/>
      <c r="J11" s="46">
        <v>1</v>
      </c>
      <c r="K11" s="46">
        <v>0</v>
      </c>
      <c r="L11" s="46" t="s">
        <v>326</v>
      </c>
      <c r="M11" s="142"/>
      <c r="N11" s="141"/>
    </row>
    <row r="12" spans="1:50" s="46" customFormat="1" x14ac:dyDescent="0.3">
      <c r="A12" s="10" t="s">
        <v>335</v>
      </c>
      <c r="B12" s="152" t="s">
        <v>348</v>
      </c>
      <c r="C12" s="152" t="s">
        <v>348</v>
      </c>
      <c r="D12" s="25">
        <v>-15.459199999999999</v>
      </c>
      <c r="E12" s="25">
        <v>16.878920000000001</v>
      </c>
      <c r="F12" s="46" t="s">
        <v>338</v>
      </c>
      <c r="H12" s="139">
        <v>45947</v>
      </c>
      <c r="I12" s="140"/>
      <c r="J12" s="46">
        <v>1</v>
      </c>
      <c r="K12" s="46">
        <v>2</v>
      </c>
      <c r="L12" s="46" t="s">
        <v>326</v>
      </c>
      <c r="M12" s="142"/>
      <c r="N12" s="141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1:50" ht="15" customHeight="1" x14ac:dyDescent="0.3">
      <c r="A13" s="10" t="s">
        <v>335</v>
      </c>
      <c r="B13" s="138" t="s">
        <v>132</v>
      </c>
      <c r="C13" s="138" t="s">
        <v>132</v>
      </c>
      <c r="D13" s="25">
        <v>-14.76751</v>
      </c>
      <c r="E13" s="25">
        <v>17.570229999999999</v>
      </c>
      <c r="F13" s="46" t="s">
        <v>349</v>
      </c>
      <c r="G13" s="46"/>
      <c r="H13" s="139">
        <v>45945</v>
      </c>
      <c r="I13" s="140">
        <v>45944</v>
      </c>
      <c r="J13" s="46">
        <v>6</v>
      </c>
      <c r="K13" s="46">
        <v>1</v>
      </c>
      <c r="L13" s="46" t="s">
        <v>326</v>
      </c>
      <c r="M13" s="142"/>
      <c r="N13" s="141"/>
    </row>
    <row r="14" spans="1:50" ht="18" customHeight="1" x14ac:dyDescent="0.3">
      <c r="A14" s="10" t="s">
        <v>335</v>
      </c>
      <c r="B14" s="138" t="s">
        <v>350</v>
      </c>
      <c r="C14" s="138" t="s">
        <v>351</v>
      </c>
      <c r="D14" s="25">
        <v>-16.095659999999999</v>
      </c>
      <c r="E14" s="25">
        <v>16.848109999999998</v>
      </c>
      <c r="F14" s="46" t="s">
        <v>352</v>
      </c>
      <c r="G14" s="46"/>
      <c r="H14" s="139">
        <v>45931</v>
      </c>
      <c r="I14" s="140">
        <v>45931</v>
      </c>
      <c r="J14" s="147">
        <v>2</v>
      </c>
      <c r="K14" s="147">
        <v>4</v>
      </c>
      <c r="L14" s="144" t="s">
        <v>334</v>
      </c>
      <c r="M14" s="148">
        <v>45931</v>
      </c>
      <c r="N14" s="149"/>
    </row>
    <row r="15" spans="1:50" ht="18" customHeight="1" x14ac:dyDescent="0.3">
      <c r="A15" s="10" t="s">
        <v>335</v>
      </c>
      <c r="B15" s="138" t="s">
        <v>346</v>
      </c>
      <c r="C15" s="138" t="s">
        <v>353</v>
      </c>
      <c r="D15" s="25">
        <v>-15.984389999999999</v>
      </c>
      <c r="E15" s="25">
        <v>17.124469999999999</v>
      </c>
      <c r="F15" s="46" t="s">
        <v>352</v>
      </c>
      <c r="G15" s="46"/>
      <c r="H15" s="139">
        <v>45933</v>
      </c>
      <c r="I15" s="140">
        <v>45931</v>
      </c>
      <c r="J15" s="46">
        <v>2</v>
      </c>
      <c r="K15" s="46">
        <v>0</v>
      </c>
      <c r="L15" s="141" t="s">
        <v>326</v>
      </c>
      <c r="M15" s="142"/>
      <c r="N15" s="141"/>
    </row>
    <row r="16" spans="1:50" ht="18" customHeight="1" x14ac:dyDescent="0.3">
      <c r="A16" s="10" t="s">
        <v>335</v>
      </c>
      <c r="B16" s="138" t="s">
        <v>336</v>
      </c>
      <c r="C16" s="138" t="s">
        <v>354</v>
      </c>
      <c r="D16" s="25">
        <v>-16.12687</v>
      </c>
      <c r="E16" s="25">
        <v>16.852599999999999</v>
      </c>
      <c r="F16" s="46" t="s">
        <v>338</v>
      </c>
      <c r="G16" s="46"/>
      <c r="H16" s="139">
        <v>45984</v>
      </c>
      <c r="I16" s="140"/>
      <c r="J16" s="46">
        <v>4</v>
      </c>
      <c r="K16" s="46">
        <v>3</v>
      </c>
      <c r="L16" s="46" t="s">
        <v>326</v>
      </c>
      <c r="M16" s="142"/>
      <c r="N16" s="141"/>
    </row>
    <row r="17" spans="1:14" ht="18" customHeight="1" x14ac:dyDescent="0.3">
      <c r="A17" s="10" t="s">
        <v>335</v>
      </c>
      <c r="B17" s="138" t="s">
        <v>346</v>
      </c>
      <c r="C17" s="138" t="s">
        <v>355</v>
      </c>
      <c r="D17" s="25">
        <v>-15.09212</v>
      </c>
      <c r="E17" s="25">
        <v>16.627120000000001</v>
      </c>
      <c r="F17" s="46" t="s">
        <v>356</v>
      </c>
      <c r="G17" s="46"/>
      <c r="H17" s="139">
        <v>45938</v>
      </c>
      <c r="I17" s="140">
        <v>45938</v>
      </c>
      <c r="J17" s="46">
        <v>1</v>
      </c>
      <c r="K17" s="46">
        <v>0</v>
      </c>
      <c r="L17" s="141" t="s">
        <v>326</v>
      </c>
      <c r="M17" s="149"/>
      <c r="N17" s="149"/>
    </row>
    <row r="18" spans="1:14" ht="18" customHeight="1" x14ac:dyDescent="0.3">
      <c r="A18" s="10" t="s">
        <v>335</v>
      </c>
      <c r="B18" s="138" t="s">
        <v>132</v>
      </c>
      <c r="C18" s="138" t="s">
        <v>357</v>
      </c>
      <c r="D18" s="25">
        <v>-15.36759</v>
      </c>
      <c r="E18" s="25">
        <v>17.0747</v>
      </c>
      <c r="F18" s="46" t="s">
        <v>358</v>
      </c>
      <c r="G18" s="46"/>
      <c r="H18" s="139">
        <v>45932</v>
      </c>
      <c r="I18" s="140">
        <v>45931</v>
      </c>
      <c r="J18" s="46">
        <v>1</v>
      </c>
      <c r="K18" s="46">
        <v>0</v>
      </c>
      <c r="L18" s="46" t="s">
        <v>326</v>
      </c>
      <c r="M18" s="142"/>
      <c r="N18" s="141"/>
    </row>
    <row r="19" spans="1:14" ht="18" customHeight="1" x14ac:dyDescent="0.3">
      <c r="A19" s="10" t="s">
        <v>335</v>
      </c>
      <c r="B19" s="138" t="s">
        <v>346</v>
      </c>
      <c r="C19" s="138" t="s">
        <v>359</v>
      </c>
      <c r="D19" s="25">
        <v>-15.3108</v>
      </c>
      <c r="E19" s="25">
        <v>16.818290000000001</v>
      </c>
      <c r="F19" s="46" t="s">
        <v>352</v>
      </c>
      <c r="G19" s="46"/>
      <c r="H19" s="139">
        <v>45931</v>
      </c>
      <c r="I19" s="140">
        <v>45931</v>
      </c>
      <c r="J19" s="46">
        <v>1</v>
      </c>
      <c r="K19" s="46">
        <v>0</v>
      </c>
      <c r="L19" s="46" t="s">
        <v>326</v>
      </c>
      <c r="M19" s="142"/>
      <c r="N19" s="141"/>
    </row>
    <row r="20" spans="1:14" ht="18" customHeight="1" x14ac:dyDescent="0.3">
      <c r="A20" s="10" t="s">
        <v>335</v>
      </c>
      <c r="B20" s="138" t="s">
        <v>132</v>
      </c>
      <c r="C20" s="138" t="s">
        <v>360</v>
      </c>
      <c r="D20" s="25">
        <v>-13.20086</v>
      </c>
      <c r="E20" s="25">
        <v>17.48742</v>
      </c>
      <c r="F20" s="46" t="s">
        <v>352</v>
      </c>
      <c r="G20" s="46"/>
      <c r="H20" s="139">
        <v>45931</v>
      </c>
      <c r="I20" s="140"/>
      <c r="J20" s="46">
        <v>5</v>
      </c>
      <c r="K20" s="46">
        <v>2</v>
      </c>
      <c r="L20" s="46" t="s">
        <v>326</v>
      </c>
      <c r="M20" s="142"/>
      <c r="N20" s="141"/>
    </row>
    <row r="21" spans="1:14" s="157" customFormat="1" ht="18" customHeight="1" x14ac:dyDescent="0.3">
      <c r="A21" s="153" t="s">
        <v>335</v>
      </c>
      <c r="B21" s="154" t="s">
        <v>65</v>
      </c>
      <c r="C21" s="154" t="s">
        <v>361</v>
      </c>
      <c r="D21">
        <v>-15.869009999999999</v>
      </c>
      <c r="E21">
        <v>16.605640000000001</v>
      </c>
      <c r="F21" s="155" t="s">
        <v>342</v>
      </c>
      <c r="G21" s="155"/>
      <c r="H21" s="156">
        <v>45935</v>
      </c>
      <c r="I21" s="156"/>
      <c r="J21" s="155">
        <v>0</v>
      </c>
      <c r="K21" s="155">
        <v>1</v>
      </c>
      <c r="L21" s="155" t="s">
        <v>326</v>
      </c>
      <c r="M21" s="155"/>
      <c r="N21" s="155" t="s">
        <v>362</v>
      </c>
    </row>
    <row r="22" spans="1:14" x14ac:dyDescent="0.3">
      <c r="A22" s="10" t="s">
        <v>363</v>
      </c>
      <c r="B22" s="138" t="s">
        <v>360</v>
      </c>
      <c r="C22" s="138" t="s">
        <v>364</v>
      </c>
      <c r="D22" s="25">
        <v>-13.916665999999999</v>
      </c>
      <c r="E22" s="25">
        <v>17.05</v>
      </c>
      <c r="F22" s="46" t="s">
        <v>365</v>
      </c>
      <c r="G22" s="46" t="s">
        <v>46</v>
      </c>
      <c r="H22" s="139">
        <v>45930</v>
      </c>
      <c r="I22" s="140">
        <v>45930</v>
      </c>
      <c r="J22" s="147">
        <v>4</v>
      </c>
      <c r="K22" s="147">
        <v>4</v>
      </c>
      <c r="L22" s="46" t="s">
        <v>326</v>
      </c>
      <c r="M22" s="142"/>
      <c r="N22" s="147" t="s">
        <v>362</v>
      </c>
    </row>
    <row r="23" spans="1:14" x14ac:dyDescent="0.3">
      <c r="A23" s="10" t="s">
        <v>363</v>
      </c>
      <c r="B23" s="138" t="s">
        <v>360</v>
      </c>
      <c r="C23" s="138" t="s">
        <v>366</v>
      </c>
      <c r="D23" s="25">
        <v>-13.04393</v>
      </c>
      <c r="E23" s="25">
        <v>17.486889999999999</v>
      </c>
      <c r="F23" s="46" t="s">
        <v>367</v>
      </c>
      <c r="G23" s="46"/>
      <c r="H23" s="139">
        <v>45931</v>
      </c>
      <c r="I23" s="140"/>
      <c r="J23" s="147">
        <v>26</v>
      </c>
      <c r="K23" s="147">
        <v>1</v>
      </c>
      <c r="L23" s="46" t="s">
        <v>326</v>
      </c>
      <c r="M23" s="142"/>
      <c r="N23" s="141"/>
    </row>
    <row r="24" spans="1:14" s="157" customFormat="1" x14ac:dyDescent="0.3">
      <c r="A24" s="153" t="s">
        <v>363</v>
      </c>
      <c r="B24" s="154" t="s">
        <v>364</v>
      </c>
      <c r="C24" s="154" t="s">
        <v>368</v>
      </c>
      <c r="D24" s="154">
        <v>-13.637499999999999</v>
      </c>
      <c r="E24" s="154">
        <v>17.764167</v>
      </c>
      <c r="F24" s="155" t="s">
        <v>369</v>
      </c>
      <c r="G24" s="155"/>
      <c r="H24" s="156">
        <v>45928</v>
      </c>
      <c r="I24" s="156">
        <v>45927</v>
      </c>
      <c r="J24" s="155">
        <v>0</v>
      </c>
      <c r="K24" s="155">
        <v>1</v>
      </c>
      <c r="L24" s="155" t="s">
        <v>334</v>
      </c>
      <c r="M24" s="156">
        <v>45928</v>
      </c>
      <c r="N24" s="156"/>
    </row>
    <row r="25" spans="1:14" ht="15" customHeight="1" x14ac:dyDescent="0.3">
      <c r="A25" s="10" t="s">
        <v>363</v>
      </c>
      <c r="B25" s="138" t="s">
        <v>364</v>
      </c>
      <c r="C25" s="138" t="s">
        <v>370</v>
      </c>
      <c r="D25" s="25">
        <v>-13.882300000000001</v>
      </c>
      <c r="E25" s="25">
        <v>17.350850000000001</v>
      </c>
      <c r="F25" s="46" t="s">
        <v>371</v>
      </c>
      <c r="G25" s="46"/>
      <c r="H25" s="139">
        <v>45934</v>
      </c>
      <c r="I25" s="140"/>
      <c r="J25" s="46">
        <v>3</v>
      </c>
      <c r="K25" s="46">
        <v>1</v>
      </c>
      <c r="L25" s="141" t="s">
        <v>326</v>
      </c>
      <c r="M25" s="142"/>
      <c r="N25" s="141"/>
    </row>
    <row r="26" spans="1:14" ht="15" customHeight="1" x14ac:dyDescent="0.3">
      <c r="A26" s="10" t="s">
        <v>363</v>
      </c>
      <c r="B26" s="138" t="s">
        <v>360</v>
      </c>
      <c r="C26" s="138" t="s">
        <v>372</v>
      </c>
      <c r="D26" s="25">
        <v>-13.52815</v>
      </c>
      <c r="E26" s="25">
        <v>17.366399999999999</v>
      </c>
      <c r="F26" s="46" t="s">
        <v>373</v>
      </c>
      <c r="G26" s="46"/>
      <c r="H26" s="139">
        <v>45945</v>
      </c>
      <c r="I26" s="140">
        <v>45944</v>
      </c>
      <c r="J26" s="46">
        <v>3</v>
      </c>
      <c r="K26" s="46">
        <v>0</v>
      </c>
      <c r="L26" s="46" t="s">
        <v>326</v>
      </c>
      <c r="M26" s="142"/>
      <c r="N26" s="141"/>
    </row>
    <row r="27" spans="1:14" ht="15" customHeight="1" x14ac:dyDescent="0.3">
      <c r="A27" s="10" t="s">
        <v>363</v>
      </c>
      <c r="B27" s="138" t="s">
        <v>374</v>
      </c>
      <c r="C27" s="138" t="s">
        <v>375</v>
      </c>
      <c r="D27" s="25">
        <v>-13.916665999999999</v>
      </c>
      <c r="E27" s="25">
        <v>17.05</v>
      </c>
      <c r="F27" s="46" t="s">
        <v>369</v>
      </c>
      <c r="G27" s="46"/>
      <c r="H27" s="139">
        <v>45939</v>
      </c>
      <c r="I27" s="140">
        <v>45938</v>
      </c>
      <c r="J27" s="46">
        <v>1</v>
      </c>
      <c r="K27" s="46">
        <v>0</v>
      </c>
      <c r="L27" s="46" t="s">
        <v>326</v>
      </c>
      <c r="M27" s="142"/>
      <c r="N27" s="141"/>
    </row>
    <row r="28" spans="1:14" ht="18" customHeight="1" x14ac:dyDescent="0.3">
      <c r="A28" s="10" t="s">
        <v>363</v>
      </c>
      <c r="B28" s="138" t="s">
        <v>374</v>
      </c>
      <c r="C28" s="138" t="s">
        <v>376</v>
      </c>
      <c r="D28" s="25">
        <v>-13.31758</v>
      </c>
      <c r="E28" s="25">
        <v>17.437799999999999</v>
      </c>
      <c r="F28" s="46" t="s">
        <v>369</v>
      </c>
      <c r="G28" s="46"/>
      <c r="H28" s="139">
        <v>45932</v>
      </c>
      <c r="I28" s="140">
        <v>45931</v>
      </c>
      <c r="J28" s="46">
        <v>2</v>
      </c>
      <c r="K28" s="46">
        <v>0</v>
      </c>
      <c r="L28" s="46" t="s">
        <v>326</v>
      </c>
      <c r="M28" s="142"/>
      <c r="N28" s="141"/>
    </row>
    <row r="29" spans="1:14" x14ac:dyDescent="0.3">
      <c r="A29" s="10" t="s">
        <v>363</v>
      </c>
      <c r="B29" s="138" t="s">
        <v>360</v>
      </c>
      <c r="C29" s="138" t="s">
        <v>377</v>
      </c>
      <c r="D29" s="25">
        <v>-12.866540000000001</v>
      </c>
      <c r="E29" s="25">
        <v>17.389579999999999</v>
      </c>
      <c r="F29" s="46" t="s">
        <v>378</v>
      </c>
      <c r="G29" s="46"/>
      <c r="H29" s="139">
        <v>45932</v>
      </c>
      <c r="I29" s="140">
        <v>45931</v>
      </c>
      <c r="J29" s="147">
        <v>0</v>
      </c>
      <c r="K29" s="147">
        <v>1</v>
      </c>
      <c r="L29" s="46" t="s">
        <v>326</v>
      </c>
      <c r="M29" s="142"/>
      <c r="N29" s="147" t="s">
        <v>362</v>
      </c>
    </row>
    <row r="30" spans="1:14" ht="18.75" customHeight="1" x14ac:dyDescent="0.3">
      <c r="A30" s="10" t="s">
        <v>363</v>
      </c>
      <c r="B30" s="158" t="s">
        <v>379</v>
      </c>
      <c r="C30" s="138" t="s">
        <v>380</v>
      </c>
      <c r="D30" s="25">
        <v>-12.994680000000001</v>
      </c>
      <c r="E30" s="25">
        <v>16.71594</v>
      </c>
      <c r="F30" s="159" t="s">
        <v>378</v>
      </c>
      <c r="G30" s="159"/>
      <c r="H30" s="160">
        <v>45933</v>
      </c>
      <c r="I30" s="161"/>
      <c r="J30" s="162" t="s">
        <v>381</v>
      </c>
      <c r="K30" s="162"/>
      <c r="L30" s="163" t="s">
        <v>326</v>
      </c>
    </row>
    <row r="31" spans="1:14" s="165" customFormat="1" ht="15" customHeight="1" x14ac:dyDescent="0.3">
      <c r="A31" s="10" t="s">
        <v>363</v>
      </c>
      <c r="B31" s="164" t="s">
        <v>364</v>
      </c>
      <c r="C31" s="138" t="s">
        <v>382</v>
      </c>
      <c r="D31" s="25">
        <v>-12.65982</v>
      </c>
      <c r="E31" s="25">
        <v>17.4284</v>
      </c>
      <c r="F31" s="141" t="s">
        <v>365</v>
      </c>
      <c r="G31" s="141"/>
      <c r="H31" s="140">
        <v>45932</v>
      </c>
      <c r="I31" s="140">
        <v>45931</v>
      </c>
      <c r="J31" s="46">
        <v>1</v>
      </c>
      <c r="K31" s="46">
        <v>0</v>
      </c>
      <c r="L31" s="141" t="s">
        <v>326</v>
      </c>
      <c r="M31" s="142"/>
      <c r="N31" s="141"/>
    </row>
    <row r="32" spans="1:14" s="157" customFormat="1" ht="15" customHeight="1" x14ac:dyDescent="0.3">
      <c r="A32" s="153" t="s">
        <v>363</v>
      </c>
      <c r="B32" s="154" t="s">
        <v>360</v>
      </c>
      <c r="C32" s="154" t="s">
        <v>383</v>
      </c>
      <c r="D32" s="154">
        <v>-13.262499999999999</v>
      </c>
      <c r="E32" s="154">
        <v>18.098056</v>
      </c>
      <c r="F32" s="155" t="s">
        <v>378</v>
      </c>
      <c r="G32" s="155"/>
      <c r="H32" s="156">
        <v>45933</v>
      </c>
      <c r="I32" s="156">
        <v>45932</v>
      </c>
      <c r="J32" s="155">
        <v>1</v>
      </c>
      <c r="K32" s="155">
        <v>0</v>
      </c>
      <c r="L32" s="155" t="s">
        <v>326</v>
      </c>
      <c r="M32" s="155"/>
      <c r="N32" s="155"/>
    </row>
    <row r="33" spans="1:14" s="165" customFormat="1" x14ac:dyDescent="0.3">
      <c r="A33" s="10" t="s">
        <v>363</v>
      </c>
      <c r="B33" s="138" t="s">
        <v>360</v>
      </c>
      <c r="C33" s="138" t="s">
        <v>384</v>
      </c>
      <c r="D33" s="25">
        <v>-12.8546</v>
      </c>
      <c r="E33" s="25">
        <v>17.082879999999999</v>
      </c>
      <c r="F33" s="46" t="s">
        <v>378</v>
      </c>
      <c r="G33" s="46"/>
      <c r="H33" s="140">
        <v>45933</v>
      </c>
      <c r="I33" s="140">
        <v>45931</v>
      </c>
      <c r="J33" s="147">
        <v>0</v>
      </c>
      <c r="K33" s="147">
        <v>1</v>
      </c>
      <c r="L33" s="144" t="s">
        <v>334</v>
      </c>
      <c r="M33" s="148">
        <v>45933</v>
      </c>
      <c r="N33" s="149"/>
    </row>
    <row r="34" spans="1:14" s="165" customFormat="1" ht="15" customHeight="1" x14ac:dyDescent="0.3">
      <c r="A34" s="10" t="s">
        <v>363</v>
      </c>
      <c r="B34" s="138" t="s">
        <v>360</v>
      </c>
      <c r="C34" s="166" t="s">
        <v>385</v>
      </c>
      <c r="D34" s="25">
        <v>-13.98414</v>
      </c>
      <c r="E34" s="25">
        <v>16.381070000000001</v>
      </c>
      <c r="F34" s="46" t="s">
        <v>378</v>
      </c>
      <c r="G34" s="46"/>
      <c r="H34" s="140">
        <v>45933</v>
      </c>
      <c r="I34" s="140">
        <v>45931</v>
      </c>
      <c r="J34" s="46">
        <v>1</v>
      </c>
      <c r="K34" s="46">
        <v>0</v>
      </c>
      <c r="L34" s="141" t="s">
        <v>326</v>
      </c>
      <c r="M34" s="142"/>
      <c r="N34" s="141"/>
    </row>
    <row r="35" spans="1:14" x14ac:dyDescent="0.3">
      <c r="A35" s="10" t="s">
        <v>363</v>
      </c>
      <c r="B35" s="138" t="s">
        <v>360</v>
      </c>
      <c r="C35" s="138" t="s">
        <v>386</v>
      </c>
      <c r="D35" s="25">
        <v>-14.31682</v>
      </c>
      <c r="E35" s="25">
        <v>16.685880000000001</v>
      </c>
      <c r="F35" s="46" t="s">
        <v>378</v>
      </c>
      <c r="G35" s="46"/>
      <c r="H35" s="139">
        <v>45933</v>
      </c>
      <c r="I35" s="140">
        <v>45931</v>
      </c>
      <c r="J35" s="147">
        <v>0</v>
      </c>
      <c r="K35" s="147">
        <v>1</v>
      </c>
      <c r="L35" s="141" t="s">
        <v>326</v>
      </c>
      <c r="M35" s="142"/>
      <c r="N35" s="141"/>
    </row>
    <row r="36" spans="1:14" ht="15" customHeight="1" x14ac:dyDescent="0.3">
      <c r="A36" s="10" t="s">
        <v>363</v>
      </c>
      <c r="B36" s="167" t="s">
        <v>385</v>
      </c>
      <c r="C36" s="168" t="s">
        <v>387</v>
      </c>
      <c r="D36" s="25">
        <v>-13.79527</v>
      </c>
      <c r="E36" s="25">
        <v>16.147120000000001</v>
      </c>
      <c r="F36" s="166"/>
      <c r="G36" s="166"/>
      <c r="H36" s="166"/>
      <c r="I36" s="166"/>
      <c r="J36" s="166"/>
      <c r="K36" s="166"/>
      <c r="L36" s="169"/>
    </row>
    <row r="37" spans="1:14" ht="15" customHeight="1" x14ac:dyDescent="0.3">
      <c r="A37" s="10" t="s">
        <v>363</v>
      </c>
      <c r="B37" s="138" t="s">
        <v>386</v>
      </c>
      <c r="C37" s="159" t="s">
        <v>388</v>
      </c>
      <c r="D37" s="25">
        <v>-13.3088</v>
      </c>
      <c r="E37" s="25">
        <v>17.284040000000001</v>
      </c>
      <c r="F37" s="46" t="s">
        <v>389</v>
      </c>
      <c r="G37" s="46"/>
      <c r="H37" s="139">
        <v>45984</v>
      </c>
      <c r="I37" s="46"/>
      <c r="J37" s="46">
        <v>1</v>
      </c>
      <c r="K37" s="46">
        <v>0</v>
      </c>
      <c r="L37" s="141" t="s">
        <v>326</v>
      </c>
      <c r="M37" s="46"/>
      <c r="N37" s="46"/>
    </row>
    <row r="38" spans="1:14" ht="15" customHeight="1" x14ac:dyDescent="0.3">
      <c r="A38" s="10" t="s">
        <v>363</v>
      </c>
      <c r="B38" s="170" t="s">
        <v>387</v>
      </c>
      <c r="C38" s="138" t="s">
        <v>390</v>
      </c>
      <c r="D38" s="25">
        <v>-12.444089999999999</v>
      </c>
      <c r="E38" s="25">
        <v>16.65794</v>
      </c>
      <c r="F38" s="168" t="s">
        <v>46</v>
      </c>
      <c r="G38" s="168"/>
      <c r="H38" s="168"/>
      <c r="I38" s="168"/>
      <c r="J38" s="168">
        <v>3</v>
      </c>
      <c r="K38" s="168">
        <v>2</v>
      </c>
      <c r="L38" s="171"/>
    </row>
    <row r="39" spans="1:14" s="157" customFormat="1" ht="15" customHeight="1" x14ac:dyDescent="0.3">
      <c r="A39" s="153" t="s">
        <v>363</v>
      </c>
      <c r="B39" s="172" t="s">
        <v>388</v>
      </c>
      <c r="C39" s="154" t="s">
        <v>391</v>
      </c>
      <c r="D39" s="173">
        <v>-13.076460000000001</v>
      </c>
      <c r="E39" s="173">
        <v>20.04937</v>
      </c>
      <c r="F39" s="174" t="s">
        <v>46</v>
      </c>
      <c r="G39" s="174" t="s">
        <v>46</v>
      </c>
      <c r="H39" s="174"/>
      <c r="I39" s="174"/>
      <c r="J39" s="174"/>
      <c r="K39" s="174"/>
      <c r="L39" s="175"/>
    </row>
    <row r="40" spans="1:14" x14ac:dyDescent="0.3">
      <c r="A40" s="10" t="s">
        <v>392</v>
      </c>
      <c r="B40" s="138" t="s">
        <v>393</v>
      </c>
      <c r="C40" s="138" t="s">
        <v>394</v>
      </c>
      <c r="D40" s="25">
        <v>-10.89986</v>
      </c>
      <c r="E40" s="25">
        <v>15.124639999999999</v>
      </c>
      <c r="F40" s="46" t="s">
        <v>395</v>
      </c>
      <c r="G40" s="46"/>
      <c r="H40" s="139">
        <v>45929</v>
      </c>
      <c r="I40" s="140">
        <v>45925</v>
      </c>
      <c r="J40" s="147">
        <v>1</v>
      </c>
      <c r="K40" s="147">
        <v>2</v>
      </c>
      <c r="L40" s="144" t="s">
        <v>334</v>
      </c>
      <c r="M40" s="148">
        <v>45929</v>
      </c>
      <c r="N40" s="149"/>
    </row>
    <row r="41" spans="1:14" ht="15" customHeight="1" x14ac:dyDescent="0.3">
      <c r="A41" s="10" t="s">
        <v>392</v>
      </c>
      <c r="B41" s="138" t="s">
        <v>393</v>
      </c>
      <c r="C41" s="138" t="s">
        <v>393</v>
      </c>
      <c r="D41" s="25">
        <v>-11.40157</v>
      </c>
      <c r="E41" s="25">
        <v>16.623460000000001</v>
      </c>
      <c r="F41" s="46" t="s">
        <v>395</v>
      </c>
      <c r="G41" s="46"/>
      <c r="H41" s="139">
        <v>45951</v>
      </c>
      <c r="I41" s="140"/>
      <c r="J41" s="46">
        <v>6</v>
      </c>
      <c r="K41" s="46">
        <v>2</v>
      </c>
      <c r="L41" s="141" t="s">
        <v>326</v>
      </c>
      <c r="M41" s="176"/>
      <c r="N41" s="176"/>
    </row>
    <row r="42" spans="1:14" ht="15" customHeight="1" x14ac:dyDescent="0.3">
      <c r="A42" s="10" t="s">
        <v>392</v>
      </c>
      <c r="B42" s="138" t="s">
        <v>393</v>
      </c>
      <c r="C42" s="138" t="s">
        <v>396</v>
      </c>
      <c r="D42" s="25">
        <v>-11.08062</v>
      </c>
      <c r="E42" s="25">
        <v>16.553709999999999</v>
      </c>
      <c r="F42" s="46" t="s">
        <v>395</v>
      </c>
      <c r="G42" s="46"/>
      <c r="H42" s="139">
        <v>45940</v>
      </c>
      <c r="I42" s="140">
        <v>45938</v>
      </c>
      <c r="J42" s="46">
        <v>1</v>
      </c>
      <c r="K42" s="46">
        <v>0</v>
      </c>
      <c r="L42" s="141" t="s">
        <v>326</v>
      </c>
      <c r="M42" s="176"/>
      <c r="N42" s="176"/>
    </row>
    <row r="43" spans="1:14" x14ac:dyDescent="0.3">
      <c r="A43" s="10" t="s">
        <v>392</v>
      </c>
      <c r="B43" s="138" t="s">
        <v>390</v>
      </c>
      <c r="C43" s="138" t="s">
        <v>397</v>
      </c>
      <c r="D43" s="25">
        <v>-12.44908</v>
      </c>
      <c r="E43" s="25">
        <v>17.384889999999999</v>
      </c>
      <c r="F43" s="46" t="s">
        <v>395</v>
      </c>
      <c r="G43" s="46"/>
      <c r="H43" s="139">
        <v>45934</v>
      </c>
      <c r="I43" s="140"/>
      <c r="J43" s="147">
        <v>0</v>
      </c>
      <c r="K43" s="147">
        <v>1</v>
      </c>
      <c r="L43" s="144" t="s">
        <v>334</v>
      </c>
      <c r="M43" s="177">
        <v>45935</v>
      </c>
      <c r="N43" s="176"/>
    </row>
    <row r="44" spans="1:14" s="157" customFormat="1" x14ac:dyDescent="0.3">
      <c r="A44" s="153" t="s">
        <v>392</v>
      </c>
      <c r="B44" s="154" t="s">
        <v>393</v>
      </c>
      <c r="C44" s="157" t="s">
        <v>398</v>
      </c>
      <c r="D44" s="178">
        <v>-11.40157</v>
      </c>
      <c r="E44" s="178">
        <v>16.623460000000001</v>
      </c>
      <c r="F44" s="155" t="s">
        <v>395</v>
      </c>
      <c r="G44" s="155"/>
      <c r="H44" s="156">
        <v>45932</v>
      </c>
      <c r="I44" s="156">
        <v>45932</v>
      </c>
      <c r="J44" s="155">
        <v>0</v>
      </c>
      <c r="K44" s="155">
        <v>1</v>
      </c>
      <c r="L44" s="155" t="s">
        <v>334</v>
      </c>
      <c r="M44" s="179">
        <v>45935</v>
      </c>
      <c r="N44" s="179"/>
    </row>
    <row r="45" spans="1:14" x14ac:dyDescent="0.3">
      <c r="A45" s="10" t="s">
        <v>392</v>
      </c>
      <c r="B45" s="138" t="s">
        <v>393</v>
      </c>
      <c r="C45" s="19" t="s">
        <v>399</v>
      </c>
      <c r="D45" s="25">
        <v>-11.518929999999999</v>
      </c>
      <c r="E45" s="25">
        <v>15.942209999999999</v>
      </c>
      <c r="F45" s="46" t="s">
        <v>395</v>
      </c>
      <c r="G45" s="46" t="s">
        <v>400</v>
      </c>
      <c r="H45" s="139">
        <v>45937</v>
      </c>
      <c r="I45" s="140">
        <v>45936</v>
      </c>
      <c r="J45" s="147">
        <v>0</v>
      </c>
      <c r="K45" s="147">
        <v>1</v>
      </c>
      <c r="L45" s="141" t="s">
        <v>326</v>
      </c>
      <c r="M45" s="176"/>
      <c r="N45" s="176"/>
    </row>
    <row r="46" spans="1:14" ht="15.6" customHeight="1" x14ac:dyDescent="0.3">
      <c r="A46" s="10" t="s">
        <v>392</v>
      </c>
      <c r="B46" s="180" t="s">
        <v>399</v>
      </c>
      <c r="C46" s="166" t="s">
        <v>401</v>
      </c>
      <c r="D46" s="25">
        <v>-11.34149</v>
      </c>
      <c r="E46" s="25">
        <v>17.467110000000002</v>
      </c>
      <c r="L46" s="181"/>
      <c r="M46" s="182"/>
      <c r="N46" s="182"/>
    </row>
    <row r="47" spans="1:14" x14ac:dyDescent="0.3">
      <c r="A47" s="10" t="s">
        <v>392</v>
      </c>
      <c r="B47" s="164" t="s">
        <v>402</v>
      </c>
      <c r="C47" s="159" t="s">
        <v>403</v>
      </c>
      <c r="D47" s="25">
        <v>-11.83578</v>
      </c>
      <c r="E47" s="25">
        <v>16.824100000000001</v>
      </c>
      <c r="F47" s="46" t="s">
        <v>395</v>
      </c>
      <c r="G47" s="46"/>
      <c r="H47" s="139">
        <v>45936</v>
      </c>
      <c r="I47" s="139">
        <v>45934</v>
      </c>
      <c r="J47" s="147">
        <v>0</v>
      </c>
      <c r="K47" s="147">
        <v>1</v>
      </c>
      <c r="L47" s="141" t="s">
        <v>326</v>
      </c>
      <c r="M47" s="141"/>
      <c r="N47" s="141"/>
    </row>
    <row r="48" spans="1:14" ht="15.6" customHeight="1" x14ac:dyDescent="0.3">
      <c r="A48" s="10" t="s">
        <v>392</v>
      </c>
      <c r="B48" s="167" t="s">
        <v>401</v>
      </c>
      <c r="C48" s="46" t="s">
        <v>404</v>
      </c>
      <c r="D48" s="25">
        <v>-9.6151199999999992</v>
      </c>
      <c r="E48" s="25">
        <v>16.662120000000002</v>
      </c>
      <c r="F48" s="166"/>
      <c r="G48" s="166"/>
      <c r="H48" s="166"/>
      <c r="I48" s="166"/>
      <c r="J48" s="166">
        <v>4</v>
      </c>
      <c r="K48" s="166">
        <v>0</v>
      </c>
      <c r="L48" s="183"/>
      <c r="M48" s="182"/>
      <c r="N48" s="182"/>
    </row>
    <row r="49" spans="1:50" ht="15.6" customHeight="1" x14ac:dyDescent="0.3">
      <c r="A49" s="10" t="s">
        <v>392</v>
      </c>
      <c r="B49" s="184" t="s">
        <v>403</v>
      </c>
      <c r="C49" s="138" t="s">
        <v>324</v>
      </c>
      <c r="D49" s="25">
        <v>-7.0227500000000003</v>
      </c>
      <c r="E49" s="25">
        <v>17.296790000000001</v>
      </c>
      <c r="F49" s="159"/>
      <c r="G49" s="159" t="s">
        <v>46</v>
      </c>
      <c r="H49" s="159"/>
      <c r="I49" s="159"/>
      <c r="J49" s="159"/>
      <c r="K49" s="159"/>
      <c r="L49" s="185"/>
      <c r="M49" s="182"/>
      <c r="N49" s="182"/>
    </row>
    <row r="50" spans="1:50" ht="15" customHeight="1" x14ac:dyDescent="0.3">
      <c r="A50" s="186" t="s">
        <v>405</v>
      </c>
      <c r="B50" s="138" t="s">
        <v>406</v>
      </c>
      <c r="C50" s="46" t="s">
        <v>407</v>
      </c>
      <c r="D50" s="25">
        <v>-10.672599999999999</v>
      </c>
      <c r="E50" s="25">
        <v>17.245909999999999</v>
      </c>
      <c r="F50" s="141" t="s">
        <v>408</v>
      </c>
      <c r="G50" s="141"/>
      <c r="H50" s="140">
        <v>45984</v>
      </c>
      <c r="I50" s="140"/>
      <c r="J50" s="46">
        <v>1</v>
      </c>
      <c r="K50" s="46">
        <v>0</v>
      </c>
      <c r="L50" s="46" t="s">
        <v>326</v>
      </c>
      <c r="M50" s="46"/>
      <c r="N50" s="46"/>
    </row>
    <row r="51" spans="1:50" ht="15" customHeight="1" x14ac:dyDescent="0.3">
      <c r="A51" s="186" t="s">
        <v>405</v>
      </c>
      <c r="B51" s="138" t="s">
        <v>406</v>
      </c>
      <c r="C51" s="168" t="s">
        <v>409</v>
      </c>
      <c r="D51" s="25">
        <v>-9.4099799999999991</v>
      </c>
      <c r="E51" s="25">
        <v>15.817449999999999</v>
      </c>
      <c r="F51" s="141" t="s">
        <v>408</v>
      </c>
      <c r="G51" s="141"/>
      <c r="H51" s="140">
        <v>45984</v>
      </c>
      <c r="I51" s="140"/>
      <c r="J51" s="46">
        <v>2</v>
      </c>
      <c r="K51" s="46">
        <v>0</v>
      </c>
      <c r="L51" s="46" t="s">
        <v>326</v>
      </c>
      <c r="M51" s="46"/>
      <c r="N51" s="46"/>
    </row>
    <row r="52" spans="1:50" x14ac:dyDescent="0.3">
      <c r="A52" s="186" t="s">
        <v>405</v>
      </c>
      <c r="B52" s="138" t="s">
        <v>407</v>
      </c>
      <c r="C52" s="159" t="s">
        <v>410</v>
      </c>
      <c r="D52" s="25">
        <v>-10.143520000000001</v>
      </c>
      <c r="E52" s="25">
        <v>15.523540000000001</v>
      </c>
      <c r="F52" s="46" t="s">
        <v>411</v>
      </c>
      <c r="G52" s="46"/>
      <c r="H52" s="139">
        <v>45958</v>
      </c>
      <c r="I52" s="46"/>
      <c r="J52" s="147">
        <v>0</v>
      </c>
      <c r="K52" s="147">
        <v>1</v>
      </c>
      <c r="L52" s="141" t="s">
        <v>326</v>
      </c>
      <c r="M52" s="46"/>
      <c r="N52" s="46"/>
    </row>
    <row r="53" spans="1:50" x14ac:dyDescent="0.3">
      <c r="A53" s="186" t="s">
        <v>405</v>
      </c>
      <c r="B53" s="138" t="s">
        <v>412</v>
      </c>
      <c r="C53" s="138" t="s">
        <v>413</v>
      </c>
      <c r="D53" s="138">
        <v>-15.998881000000001</v>
      </c>
      <c r="E53" s="138">
        <v>18.111080999999999</v>
      </c>
      <c r="F53" s="46" t="s">
        <v>414</v>
      </c>
      <c r="G53" s="46"/>
      <c r="H53" s="139">
        <v>45938</v>
      </c>
      <c r="I53" s="139">
        <v>45938</v>
      </c>
      <c r="J53" s="147">
        <v>48</v>
      </c>
      <c r="K53" s="147">
        <v>4</v>
      </c>
      <c r="L53" s="46" t="s">
        <v>326</v>
      </c>
      <c r="M53" s="46"/>
      <c r="N53" s="46"/>
    </row>
    <row r="54" spans="1:50" ht="15" customHeight="1" x14ac:dyDescent="0.3">
      <c r="A54" s="10" t="s">
        <v>415</v>
      </c>
      <c r="B54" s="138" t="s">
        <v>413</v>
      </c>
      <c r="C54" s="138" t="s">
        <v>416</v>
      </c>
      <c r="D54" s="138">
        <v>-15.955283</v>
      </c>
      <c r="E54" s="138">
        <v>18.102644000000002</v>
      </c>
      <c r="F54" s="46" t="s">
        <v>352</v>
      </c>
      <c r="G54" s="46"/>
      <c r="H54" s="139">
        <v>45958</v>
      </c>
      <c r="I54" s="140"/>
      <c r="J54" s="46">
        <v>17</v>
      </c>
      <c r="K54" s="46">
        <v>0</v>
      </c>
      <c r="L54" s="46" t="s">
        <v>326</v>
      </c>
      <c r="M54" s="142"/>
      <c r="N54" s="141"/>
    </row>
    <row r="55" spans="1:50" s="165" customFormat="1" x14ac:dyDescent="0.3">
      <c r="A55" s="10" t="s">
        <v>415</v>
      </c>
      <c r="B55" s="164" t="s">
        <v>413</v>
      </c>
      <c r="C55" s="164" t="s">
        <v>417</v>
      </c>
      <c r="D55" s="138">
        <v>-15.947789</v>
      </c>
      <c r="E55" s="138">
        <v>18.129625000000001</v>
      </c>
      <c r="F55" s="141" t="s">
        <v>418</v>
      </c>
      <c r="G55" s="141"/>
      <c r="H55" s="140">
        <v>45939</v>
      </c>
      <c r="I55" s="140">
        <v>45939</v>
      </c>
      <c r="J55" s="147">
        <v>5</v>
      </c>
      <c r="K55" s="147">
        <v>1</v>
      </c>
      <c r="L55" s="141" t="s">
        <v>326</v>
      </c>
      <c r="M55" s="142"/>
      <c r="N55" s="141"/>
    </row>
    <row r="56" spans="1:50" ht="15" customHeight="1" x14ac:dyDescent="0.3">
      <c r="A56" s="10" t="s">
        <v>415</v>
      </c>
      <c r="B56" s="138" t="s">
        <v>413</v>
      </c>
      <c r="C56" s="19" t="s">
        <v>419</v>
      </c>
      <c r="D56" s="164">
        <v>-15.984927000000001</v>
      </c>
      <c r="E56" s="164">
        <v>18.103491999999999</v>
      </c>
      <c r="F56" s="46" t="s">
        <v>352</v>
      </c>
      <c r="G56" s="46"/>
      <c r="H56" s="139">
        <v>45931</v>
      </c>
      <c r="I56" s="140"/>
      <c r="J56" s="46">
        <v>1</v>
      </c>
      <c r="K56" s="46">
        <v>0</v>
      </c>
      <c r="L56" s="144" t="s">
        <v>334</v>
      </c>
      <c r="M56" s="148">
        <v>45931</v>
      </c>
      <c r="N56" s="149"/>
    </row>
    <row r="57" spans="1:50" ht="15" customHeight="1" x14ac:dyDescent="0.3">
      <c r="A57" s="10" t="s">
        <v>415</v>
      </c>
      <c r="B57" s="164" t="s">
        <v>413</v>
      </c>
      <c r="C57" s="138" t="s">
        <v>420</v>
      </c>
      <c r="D57" s="164">
        <v>-15.959663000000001</v>
      </c>
      <c r="E57" s="164">
        <v>18.051100000000002</v>
      </c>
      <c r="F57" s="141" t="s">
        <v>421</v>
      </c>
      <c r="G57" s="141"/>
      <c r="H57" s="140">
        <v>45931</v>
      </c>
      <c r="I57" s="140"/>
      <c r="J57" s="46">
        <v>18</v>
      </c>
      <c r="K57" s="46">
        <v>1</v>
      </c>
      <c r="L57" s="46" t="s">
        <v>326</v>
      </c>
      <c r="M57" s="142"/>
      <c r="N57" s="141"/>
    </row>
    <row r="58" spans="1:50" ht="15" customHeight="1" x14ac:dyDescent="0.3">
      <c r="A58" s="10" t="s">
        <v>422</v>
      </c>
      <c r="B58" s="138" t="s">
        <v>423</v>
      </c>
      <c r="C58" s="138" t="s">
        <v>424</v>
      </c>
      <c r="D58" s="138">
        <v>-15.957477000000001</v>
      </c>
      <c r="E58" s="138">
        <v>18.040752999999999</v>
      </c>
      <c r="F58" s="46" t="s">
        <v>365</v>
      </c>
      <c r="G58" s="46"/>
      <c r="H58" s="139">
        <v>45931</v>
      </c>
      <c r="I58" s="140"/>
      <c r="J58" s="46">
        <v>3</v>
      </c>
      <c r="K58" s="46">
        <v>0</v>
      </c>
      <c r="L58" s="46" t="s">
        <v>326</v>
      </c>
      <c r="M58" s="142"/>
      <c r="N58" s="141"/>
    </row>
    <row r="59" spans="1:50" ht="15" customHeight="1" x14ac:dyDescent="0.3">
      <c r="A59" s="187" t="s">
        <v>425</v>
      </c>
      <c r="B59" s="138" t="s">
        <v>426</v>
      </c>
      <c r="C59" s="138" t="s">
        <v>423</v>
      </c>
      <c r="D59" s="138">
        <v>-15.905222</v>
      </c>
      <c r="E59" s="138">
        <v>18.040752999999999</v>
      </c>
      <c r="F59" s="46" t="s">
        <v>427</v>
      </c>
      <c r="G59" s="46"/>
      <c r="H59" s="139">
        <v>45962</v>
      </c>
      <c r="I59" s="140"/>
      <c r="J59" s="46">
        <v>18</v>
      </c>
      <c r="K59" s="46">
        <v>1</v>
      </c>
      <c r="L59" s="46" t="s">
        <v>326</v>
      </c>
      <c r="M59" s="142"/>
      <c r="N59" s="141"/>
    </row>
    <row r="60" spans="1:50" s="46" customFormat="1" x14ac:dyDescent="0.3">
      <c r="A60" s="187" t="s">
        <v>425</v>
      </c>
      <c r="B60" s="152" t="s">
        <v>428</v>
      </c>
      <c r="C60" s="138" t="s">
        <v>426</v>
      </c>
      <c r="D60" s="138">
        <v>-15.939543</v>
      </c>
      <c r="E60" s="138">
        <v>18.130036</v>
      </c>
      <c r="F60" s="46" t="s">
        <v>365</v>
      </c>
      <c r="H60" s="139">
        <v>45939</v>
      </c>
      <c r="I60" s="140">
        <v>45939</v>
      </c>
      <c r="J60" s="46">
        <v>1</v>
      </c>
      <c r="K60" s="46">
        <v>0</v>
      </c>
      <c r="L60" s="46" t="s">
        <v>326</v>
      </c>
      <c r="M60" s="142"/>
      <c r="N60" s="141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</row>
    <row r="61" spans="1:50" ht="15" customHeight="1" x14ac:dyDescent="0.3">
      <c r="A61" s="187" t="s">
        <v>425</v>
      </c>
      <c r="B61" s="138" t="s">
        <v>423</v>
      </c>
      <c r="C61" s="138" t="s">
        <v>429</v>
      </c>
      <c r="D61" s="138">
        <v>-15.933222000000001</v>
      </c>
      <c r="E61" s="138">
        <v>18.141729999999999</v>
      </c>
      <c r="F61" s="46" t="s">
        <v>365</v>
      </c>
      <c r="G61" s="46"/>
      <c r="H61" s="139">
        <v>45950</v>
      </c>
      <c r="I61" s="140"/>
      <c r="J61" s="46">
        <v>5</v>
      </c>
      <c r="K61" s="46">
        <v>1</v>
      </c>
      <c r="L61" s="46" t="s">
        <v>326</v>
      </c>
      <c r="M61" s="142"/>
      <c r="N61" s="141"/>
    </row>
    <row r="62" spans="1:50" ht="15" customHeight="1" x14ac:dyDescent="0.3">
      <c r="A62" s="187" t="s">
        <v>425</v>
      </c>
      <c r="B62" s="188" t="s">
        <v>428</v>
      </c>
      <c r="C62" s="138" t="s">
        <v>430</v>
      </c>
      <c r="D62" s="138">
        <v>-15.933222000000001</v>
      </c>
      <c r="E62" s="138">
        <v>18.141729999999999</v>
      </c>
      <c r="F62" s="19" t="s">
        <v>365</v>
      </c>
      <c r="G62" s="189" t="s">
        <v>46</v>
      </c>
      <c r="H62" s="190">
        <v>45936</v>
      </c>
      <c r="I62" s="191">
        <v>45936</v>
      </c>
      <c r="J62" s="192">
        <v>0</v>
      </c>
      <c r="K62" s="192">
        <v>1</v>
      </c>
      <c r="L62" s="193"/>
      <c r="M62" s="194"/>
      <c r="N62" s="195"/>
    </row>
    <row r="63" spans="1:50" ht="15" customHeight="1" x14ac:dyDescent="0.3">
      <c r="A63" s="187" t="s">
        <v>425</v>
      </c>
      <c r="B63" s="138" t="s">
        <v>423</v>
      </c>
      <c r="C63" s="138" t="s">
        <v>431</v>
      </c>
      <c r="D63" s="25">
        <v>-11.38401</v>
      </c>
      <c r="E63" s="25">
        <v>18.485050000000001</v>
      </c>
      <c r="F63" s="46" t="s">
        <v>365</v>
      </c>
      <c r="G63" s="46"/>
      <c r="H63" s="139">
        <v>45930</v>
      </c>
      <c r="I63" s="140">
        <v>45930</v>
      </c>
      <c r="J63" s="46">
        <v>1</v>
      </c>
      <c r="K63" s="46">
        <v>0</v>
      </c>
      <c r="L63" s="46" t="s">
        <v>326</v>
      </c>
      <c r="M63" s="142"/>
      <c r="N63" s="141"/>
    </row>
    <row r="64" spans="1:50" ht="15" customHeight="1" x14ac:dyDescent="0.3">
      <c r="A64" s="187" t="s">
        <v>425</v>
      </c>
      <c r="B64" s="180" t="s">
        <v>428</v>
      </c>
      <c r="C64" s="19" t="s">
        <v>432</v>
      </c>
      <c r="D64" s="25">
        <v>-9.8069100000000002</v>
      </c>
      <c r="E64" s="25">
        <v>18.580590000000001</v>
      </c>
      <c r="L64" s="189"/>
    </row>
    <row r="65" spans="1:14" x14ac:dyDescent="0.3">
      <c r="A65" s="10" t="s">
        <v>433</v>
      </c>
      <c r="B65" s="138" t="s">
        <v>431</v>
      </c>
      <c r="C65" s="138" t="s">
        <v>434</v>
      </c>
      <c r="D65" s="25">
        <v>-12.302300000000001</v>
      </c>
      <c r="E65" s="25">
        <v>17.820930000000001</v>
      </c>
      <c r="F65" s="46" t="s">
        <v>435</v>
      </c>
      <c r="G65" s="46" t="s">
        <v>436</v>
      </c>
      <c r="H65" s="139">
        <v>45934</v>
      </c>
      <c r="I65" s="139">
        <v>45934</v>
      </c>
      <c r="J65" s="46">
        <v>1</v>
      </c>
      <c r="K65" s="46">
        <v>0</v>
      </c>
      <c r="L65" s="144" t="s">
        <v>334</v>
      </c>
      <c r="M65" s="145">
        <v>45935</v>
      </c>
      <c r="N65" s="140"/>
    </row>
    <row r="66" spans="1:14" x14ac:dyDescent="0.3">
      <c r="A66" s="10" t="s">
        <v>433</v>
      </c>
      <c r="B66" s="180" t="s">
        <v>432</v>
      </c>
      <c r="C66" s="138" t="s">
        <v>437</v>
      </c>
      <c r="D66" s="25">
        <v>-10.916180000000001</v>
      </c>
      <c r="E66" s="25">
        <v>15.74131</v>
      </c>
      <c r="L66" s="189"/>
    </row>
    <row r="67" spans="1:14" x14ac:dyDescent="0.3">
      <c r="A67" s="10" t="s">
        <v>433</v>
      </c>
      <c r="B67" s="138" t="s">
        <v>434</v>
      </c>
      <c r="C67" s="138" t="s">
        <v>438</v>
      </c>
      <c r="D67" s="25">
        <v>-13.432079999999999</v>
      </c>
      <c r="E67" s="25">
        <v>16.472069999999999</v>
      </c>
      <c r="F67" s="46" t="s">
        <v>439</v>
      </c>
      <c r="G67" s="46"/>
      <c r="H67" s="139">
        <v>45940</v>
      </c>
      <c r="I67" s="139">
        <v>45939</v>
      </c>
      <c r="J67" s="46">
        <v>1</v>
      </c>
      <c r="K67" s="46">
        <v>0</v>
      </c>
      <c r="L67" s="46" t="s">
        <v>326</v>
      </c>
      <c r="M67" s="46"/>
      <c r="N67" s="46"/>
    </row>
    <row r="68" spans="1:14" x14ac:dyDescent="0.3">
      <c r="A68" s="10" t="s">
        <v>433</v>
      </c>
      <c r="B68" s="138" t="s">
        <v>434</v>
      </c>
      <c r="C68" s="196" t="s">
        <v>440</v>
      </c>
      <c r="D68" s="25">
        <v>-12.85261</v>
      </c>
      <c r="E68" s="25">
        <v>15.51295</v>
      </c>
      <c r="F68" s="141" t="s">
        <v>441</v>
      </c>
      <c r="G68" s="141"/>
      <c r="H68" s="140">
        <v>45932</v>
      </c>
      <c r="I68" s="140">
        <v>45931</v>
      </c>
      <c r="J68" s="147">
        <v>0</v>
      </c>
      <c r="K68" s="147">
        <v>1</v>
      </c>
      <c r="L68" s="144" t="s">
        <v>334</v>
      </c>
      <c r="M68" s="148">
        <v>45932</v>
      </c>
      <c r="N68" s="149"/>
    </row>
    <row r="69" spans="1:14" ht="15" customHeight="1" x14ac:dyDescent="0.3">
      <c r="A69" s="10" t="s">
        <v>442</v>
      </c>
      <c r="B69" s="138" t="s">
        <v>443</v>
      </c>
      <c r="C69" s="197" t="s">
        <v>444</v>
      </c>
      <c r="D69" s="25">
        <v>-12.57949</v>
      </c>
      <c r="E69" s="25">
        <v>16.00132</v>
      </c>
      <c r="F69" s="46" t="s">
        <v>445</v>
      </c>
      <c r="G69" s="46"/>
      <c r="H69" s="139">
        <v>45933</v>
      </c>
      <c r="I69" s="140">
        <v>45931</v>
      </c>
      <c r="J69" s="46">
        <v>1</v>
      </c>
      <c r="K69" s="46">
        <v>0</v>
      </c>
      <c r="L69" s="46" t="s">
        <v>326</v>
      </c>
      <c r="M69" s="142"/>
      <c r="N69" s="141"/>
    </row>
    <row r="70" spans="1:14" ht="16.5" customHeight="1" x14ac:dyDescent="0.3">
      <c r="A70" s="10" t="s">
        <v>442</v>
      </c>
      <c r="B70" s="167" t="s">
        <v>440</v>
      </c>
      <c r="C70" s="138" t="s">
        <v>446</v>
      </c>
      <c r="D70" s="25">
        <v>-13.50412</v>
      </c>
      <c r="E70" s="25">
        <v>16.146830000000001</v>
      </c>
      <c r="F70" s="169"/>
      <c r="G70" s="169"/>
      <c r="H70" s="169"/>
      <c r="I70" s="198"/>
      <c r="J70" s="166">
        <v>5</v>
      </c>
      <c r="K70" s="166">
        <v>3</v>
      </c>
      <c r="L70" s="169" t="s">
        <v>326</v>
      </c>
    </row>
    <row r="71" spans="1:14" ht="16.5" customHeight="1" x14ac:dyDescent="0.3">
      <c r="A71" s="10" t="s">
        <v>442</v>
      </c>
      <c r="B71" s="138" t="s">
        <v>447</v>
      </c>
      <c r="C71" s="138" t="s">
        <v>448</v>
      </c>
      <c r="D71" s="25">
        <v>-12.60533</v>
      </c>
      <c r="E71" s="25">
        <v>15.51019</v>
      </c>
      <c r="F71" s="46" t="s">
        <v>449</v>
      </c>
      <c r="G71" s="46"/>
      <c r="H71" s="139">
        <v>45932</v>
      </c>
      <c r="I71" s="139">
        <v>45932</v>
      </c>
      <c r="J71" s="147">
        <v>0</v>
      </c>
      <c r="K71" s="147">
        <v>1</v>
      </c>
      <c r="L71" s="147" t="s">
        <v>326</v>
      </c>
      <c r="M71" s="46"/>
      <c r="N71" s="46"/>
    </row>
    <row r="72" spans="1:14" ht="16.5" customHeight="1" x14ac:dyDescent="0.3">
      <c r="A72" s="10" t="s">
        <v>442</v>
      </c>
      <c r="B72" s="138" t="s">
        <v>447</v>
      </c>
      <c r="C72" s="196" t="s">
        <v>450</v>
      </c>
      <c r="D72" s="25">
        <v>-11.67943</v>
      </c>
      <c r="E72" s="25">
        <v>15.57203</v>
      </c>
      <c r="F72" s="46" t="s">
        <v>449</v>
      </c>
      <c r="G72" s="46"/>
      <c r="H72" s="139">
        <v>45956</v>
      </c>
      <c r="I72" s="139"/>
      <c r="J72" s="46">
        <v>1</v>
      </c>
      <c r="K72" s="46">
        <v>0</v>
      </c>
      <c r="L72" s="46" t="s">
        <v>326</v>
      </c>
      <c r="M72" s="46"/>
      <c r="N72" s="46"/>
    </row>
    <row r="73" spans="1:14" ht="16.5" customHeight="1" x14ac:dyDescent="0.3">
      <c r="A73" s="10" t="s">
        <v>442</v>
      </c>
      <c r="B73" s="138" t="s">
        <v>451</v>
      </c>
      <c r="C73" s="197" t="s">
        <v>452</v>
      </c>
      <c r="D73" s="25">
        <v>-12.1753</v>
      </c>
      <c r="E73" s="25">
        <v>14.98495</v>
      </c>
      <c r="F73" s="46" t="s">
        <v>453</v>
      </c>
      <c r="G73" s="46" t="s">
        <v>454</v>
      </c>
      <c r="H73" s="139">
        <v>45945</v>
      </c>
      <c r="I73" s="139">
        <v>45944</v>
      </c>
      <c r="J73" s="147">
        <v>0</v>
      </c>
      <c r="K73" s="147">
        <v>1</v>
      </c>
      <c r="L73" s="144" t="s">
        <v>334</v>
      </c>
      <c r="M73" s="145">
        <v>45946</v>
      </c>
      <c r="N73" s="46"/>
    </row>
    <row r="74" spans="1:14" ht="16.5" customHeight="1" x14ac:dyDescent="0.3">
      <c r="A74" s="199" t="s">
        <v>455</v>
      </c>
      <c r="B74" s="167" t="s">
        <v>450</v>
      </c>
      <c r="C74" s="200" t="s">
        <v>456</v>
      </c>
      <c r="D74" s="25">
        <v>-12.58085</v>
      </c>
      <c r="E74" s="25">
        <v>15.21931</v>
      </c>
      <c r="F74" s="169"/>
      <c r="G74" s="169"/>
      <c r="H74" s="169"/>
      <c r="I74" s="198"/>
      <c r="J74" s="166"/>
      <c r="K74" s="166"/>
      <c r="L74" s="169"/>
    </row>
    <row r="75" spans="1:14" s="182" customFormat="1" ht="16.5" customHeight="1" x14ac:dyDescent="0.3">
      <c r="A75" s="201" t="s">
        <v>455</v>
      </c>
      <c r="B75" s="202" t="s">
        <v>452</v>
      </c>
      <c r="C75" s="147" t="s">
        <v>457</v>
      </c>
      <c r="D75" s="203"/>
      <c r="E75" s="203"/>
      <c r="F75" s="204"/>
      <c r="G75" s="204"/>
      <c r="H75" s="204"/>
      <c r="I75" s="205"/>
      <c r="J75" s="206"/>
      <c r="K75" s="206"/>
      <c r="L75" s="204"/>
    </row>
    <row r="76" spans="1:14" s="182" customFormat="1" ht="16.5" customHeight="1" x14ac:dyDescent="0.3">
      <c r="A76" s="201" t="s">
        <v>455</v>
      </c>
      <c r="B76" s="207" t="s">
        <v>458</v>
      </c>
      <c r="C76" s="208" t="s">
        <v>459</v>
      </c>
      <c r="D76" s="209"/>
      <c r="E76" s="209"/>
      <c r="F76" s="185"/>
      <c r="G76" s="185"/>
      <c r="H76" s="185"/>
      <c r="I76" s="210"/>
      <c r="J76" s="211"/>
      <c r="K76" s="211"/>
      <c r="L76" s="185"/>
    </row>
    <row r="77" spans="1:14" ht="15" customHeight="1" x14ac:dyDescent="0.3">
      <c r="A77" s="199" t="s">
        <v>442</v>
      </c>
      <c r="B77" s="138" t="s">
        <v>443</v>
      </c>
      <c r="C77" s="164" t="s">
        <v>460</v>
      </c>
      <c r="D77" s="25">
        <v>-12.93412</v>
      </c>
      <c r="E77" s="25">
        <v>15.7989</v>
      </c>
      <c r="F77" s="46" t="s">
        <v>445</v>
      </c>
      <c r="G77" s="46"/>
      <c r="H77" s="139">
        <v>45933</v>
      </c>
      <c r="I77" s="140">
        <v>45931</v>
      </c>
      <c r="J77" s="46">
        <v>1</v>
      </c>
      <c r="K77" s="46">
        <v>1</v>
      </c>
      <c r="L77" s="46" t="s">
        <v>326</v>
      </c>
      <c r="M77" s="142"/>
      <c r="N77" s="141"/>
    </row>
    <row r="78" spans="1:14" ht="15" customHeight="1" x14ac:dyDescent="0.3">
      <c r="A78" s="10" t="s">
        <v>442</v>
      </c>
      <c r="B78" s="138" t="s">
        <v>443</v>
      </c>
      <c r="C78" s="46" t="s">
        <v>461</v>
      </c>
      <c r="D78" s="25">
        <v>-16.448920000000001</v>
      </c>
      <c r="E78" s="25">
        <v>20.60941</v>
      </c>
      <c r="F78" s="46" t="s">
        <v>445</v>
      </c>
      <c r="G78" s="46"/>
      <c r="H78" s="139">
        <v>45933</v>
      </c>
      <c r="I78" s="140">
        <v>45932</v>
      </c>
      <c r="J78" s="46">
        <v>19</v>
      </c>
      <c r="K78" s="46">
        <v>0</v>
      </c>
      <c r="L78" s="46" t="s">
        <v>326</v>
      </c>
      <c r="M78" s="142"/>
      <c r="N78" s="141"/>
    </row>
    <row r="79" spans="1:14" ht="15" thickBot="1" x14ac:dyDescent="0.35">
      <c r="A79" s="10" t="s">
        <v>462</v>
      </c>
      <c r="B79" s="138" t="s">
        <v>461</v>
      </c>
      <c r="C79" s="19" t="s">
        <v>463</v>
      </c>
      <c r="D79" s="25">
        <v>-14.965949999999999</v>
      </c>
      <c r="E79" s="25">
        <v>21.288550000000001</v>
      </c>
      <c r="F79" s="46" t="s">
        <v>464</v>
      </c>
      <c r="G79" s="46"/>
      <c r="H79" s="139">
        <v>45938</v>
      </c>
      <c r="I79" s="140">
        <v>45936</v>
      </c>
      <c r="J79" s="46">
        <v>1</v>
      </c>
      <c r="K79" s="46">
        <v>0</v>
      </c>
      <c r="L79" s="46" t="s">
        <v>326</v>
      </c>
      <c r="M79" s="142"/>
      <c r="N79" s="141"/>
    </row>
    <row r="80" spans="1:14" ht="15" thickBot="1" x14ac:dyDescent="0.35">
      <c r="A80" s="10" t="s">
        <v>462</v>
      </c>
      <c r="B80" s="138" t="s">
        <v>461</v>
      </c>
      <c r="C80" s="212" t="s">
        <v>465</v>
      </c>
      <c r="D80" s="25">
        <v>-13.98931</v>
      </c>
      <c r="E80" s="25">
        <v>19.6508</v>
      </c>
      <c r="F80" s="46" t="s">
        <v>464</v>
      </c>
      <c r="G80" s="46"/>
      <c r="H80" s="213">
        <v>45931</v>
      </c>
      <c r="I80" s="214">
        <v>45931</v>
      </c>
      <c r="J80" s="46">
        <v>1</v>
      </c>
      <c r="K80" s="46">
        <v>0</v>
      </c>
      <c r="L80" s="46" t="s">
        <v>326</v>
      </c>
      <c r="M80" s="142"/>
      <c r="N80" s="141"/>
    </row>
    <row r="81" spans="1:14" x14ac:dyDescent="0.3">
      <c r="A81" s="215" t="s">
        <v>466</v>
      </c>
      <c r="B81" s="216" t="s">
        <v>465</v>
      </c>
      <c r="C81" s="46" t="s">
        <v>467</v>
      </c>
      <c r="D81" s="25">
        <v>-13.03129</v>
      </c>
      <c r="E81" s="25">
        <v>20.548190000000002</v>
      </c>
      <c r="F81" s="212"/>
      <c r="G81" s="212"/>
      <c r="H81" s="212"/>
      <c r="I81" s="212"/>
      <c r="J81" s="212">
        <v>4</v>
      </c>
      <c r="K81" s="212">
        <v>1</v>
      </c>
      <c r="L81" s="217"/>
    </row>
    <row r="82" spans="1:14" x14ac:dyDescent="0.3">
      <c r="A82" s="10" t="s">
        <v>468</v>
      </c>
      <c r="B82" s="138" t="s">
        <v>467</v>
      </c>
      <c r="C82" s="168" t="s">
        <v>469</v>
      </c>
      <c r="D82" s="25">
        <v>-12.332890000000001</v>
      </c>
      <c r="E82" s="25">
        <v>20.47654</v>
      </c>
      <c r="F82" s="46" t="s">
        <v>470</v>
      </c>
      <c r="G82" s="46"/>
      <c r="H82" s="139">
        <v>45938</v>
      </c>
      <c r="I82" s="139">
        <v>45938</v>
      </c>
      <c r="J82" s="46">
        <v>1</v>
      </c>
      <c r="K82" s="46">
        <v>0</v>
      </c>
      <c r="L82" s="46" t="s">
        <v>326</v>
      </c>
      <c r="M82" s="46"/>
      <c r="N82" s="46"/>
    </row>
    <row r="83" spans="1:14" ht="16.2" customHeight="1" x14ac:dyDescent="0.3">
      <c r="A83" s="10" t="s">
        <v>468</v>
      </c>
      <c r="B83" s="170" t="s">
        <v>471</v>
      </c>
      <c r="C83" s="159" t="s">
        <v>472</v>
      </c>
      <c r="D83" s="25">
        <v>-10.60045</v>
      </c>
      <c r="E83" s="25">
        <v>21.5931</v>
      </c>
      <c r="F83" s="168"/>
      <c r="G83" s="168"/>
      <c r="H83" s="168"/>
      <c r="I83" s="168"/>
      <c r="J83" s="168"/>
      <c r="K83" s="168"/>
      <c r="L83" s="171"/>
    </row>
    <row r="84" spans="1:14" x14ac:dyDescent="0.3">
      <c r="A84" s="10" t="s">
        <v>468</v>
      </c>
      <c r="B84" s="138" t="s">
        <v>467</v>
      </c>
      <c r="C84" s="138" t="s">
        <v>473</v>
      </c>
      <c r="D84" s="25">
        <v>-12.837</v>
      </c>
      <c r="E84" s="25">
        <v>20.82274</v>
      </c>
      <c r="F84" s="46" t="s">
        <v>474</v>
      </c>
      <c r="G84" s="46"/>
      <c r="H84" s="139">
        <v>45950</v>
      </c>
      <c r="I84" s="46"/>
      <c r="J84" s="46">
        <v>1</v>
      </c>
      <c r="K84" s="46">
        <v>0</v>
      </c>
      <c r="L84" s="46" t="s">
        <v>326</v>
      </c>
      <c r="M84" s="46"/>
      <c r="N84" s="46"/>
    </row>
    <row r="85" spans="1:14" x14ac:dyDescent="0.3">
      <c r="A85" s="10" t="s">
        <v>468</v>
      </c>
      <c r="B85" s="138" t="s">
        <v>467</v>
      </c>
      <c r="C85" s="138" t="s">
        <v>475</v>
      </c>
      <c r="D85" s="25">
        <v>-14.248010000000001</v>
      </c>
      <c r="E85" s="25">
        <v>16.58502</v>
      </c>
      <c r="F85" s="46" t="s">
        <v>474</v>
      </c>
      <c r="G85" s="46"/>
      <c r="H85" s="139">
        <v>45950</v>
      </c>
      <c r="I85" s="46"/>
      <c r="J85" s="46">
        <v>1</v>
      </c>
      <c r="K85" s="46">
        <v>0</v>
      </c>
      <c r="L85" s="46" t="s">
        <v>326</v>
      </c>
      <c r="M85" s="46"/>
      <c r="N85" s="46"/>
    </row>
    <row r="86" spans="1:14" x14ac:dyDescent="0.3">
      <c r="A86" s="218" t="s">
        <v>476</v>
      </c>
      <c r="B86" s="138" t="s">
        <v>477</v>
      </c>
      <c r="C86" s="138" t="s">
        <v>455</v>
      </c>
      <c r="D86" s="25">
        <v>-12.093730000000001</v>
      </c>
      <c r="E86" s="25">
        <v>15.159140000000001</v>
      </c>
      <c r="F86" s="46" t="s">
        <v>478</v>
      </c>
      <c r="G86" s="46"/>
      <c r="H86" s="139">
        <v>45938</v>
      </c>
      <c r="I86" s="139">
        <v>45938</v>
      </c>
      <c r="J86" s="46">
        <v>6</v>
      </c>
      <c r="K86" s="46">
        <v>1</v>
      </c>
      <c r="L86" s="46" t="s">
        <v>326</v>
      </c>
      <c r="M86" s="46"/>
      <c r="N86" s="46"/>
    </row>
    <row r="87" spans="1:14" ht="15" customHeight="1" x14ac:dyDescent="0.3">
      <c r="A87" s="10" t="s">
        <v>479</v>
      </c>
      <c r="B87" s="138" t="s">
        <v>455</v>
      </c>
      <c r="C87" s="138" t="s">
        <v>480</v>
      </c>
      <c r="D87" s="25">
        <v>-12.30959</v>
      </c>
      <c r="E87" s="25">
        <v>15.31291</v>
      </c>
      <c r="F87" s="46" t="s">
        <v>481</v>
      </c>
      <c r="G87" s="46"/>
      <c r="H87" s="139">
        <v>45960</v>
      </c>
      <c r="I87" s="139"/>
      <c r="J87" s="46">
        <v>1</v>
      </c>
      <c r="K87" s="46">
        <v>0</v>
      </c>
      <c r="L87" s="46" t="s">
        <v>326</v>
      </c>
      <c r="M87" s="46"/>
      <c r="N87" s="141"/>
    </row>
    <row r="88" spans="1:14" ht="15" customHeight="1" x14ac:dyDescent="0.3">
      <c r="A88" s="10" t="s">
        <v>479</v>
      </c>
      <c r="B88" s="138" t="s">
        <v>455</v>
      </c>
      <c r="C88" s="138" t="s">
        <v>482</v>
      </c>
      <c r="D88" s="25">
        <v>-12.209059999999999</v>
      </c>
      <c r="E88" s="25">
        <v>15.74957</v>
      </c>
      <c r="F88" s="46" t="s">
        <v>481</v>
      </c>
      <c r="G88" s="46" t="s">
        <v>343</v>
      </c>
      <c r="H88" s="139">
        <v>45944</v>
      </c>
      <c r="I88" s="139"/>
      <c r="J88" s="46">
        <v>1</v>
      </c>
      <c r="K88" s="46">
        <v>0</v>
      </c>
      <c r="L88" s="46" t="s">
        <v>326</v>
      </c>
      <c r="M88" s="46"/>
      <c r="N88" s="46"/>
    </row>
    <row r="89" spans="1:14" ht="15" customHeight="1" x14ac:dyDescent="0.3">
      <c r="A89" s="10" t="s">
        <v>479</v>
      </c>
      <c r="B89" s="138" t="s">
        <v>455</v>
      </c>
      <c r="C89" s="19" t="s">
        <v>483</v>
      </c>
      <c r="D89" s="25">
        <v>-12.33178</v>
      </c>
      <c r="E89" s="25">
        <v>14.83663</v>
      </c>
      <c r="F89" s="46" t="s">
        <v>484</v>
      </c>
      <c r="G89" s="46" t="s">
        <v>485</v>
      </c>
      <c r="H89" s="139">
        <v>45940</v>
      </c>
      <c r="I89" s="139">
        <v>45940</v>
      </c>
      <c r="J89" s="46">
        <v>1</v>
      </c>
      <c r="K89" s="46">
        <v>1</v>
      </c>
      <c r="L89" s="46" t="s">
        <v>326</v>
      </c>
      <c r="M89" s="46"/>
      <c r="N89" s="46"/>
    </row>
    <row r="94" spans="1:14" x14ac:dyDescent="0.3">
      <c r="E94" s="19" t="s">
        <v>46</v>
      </c>
    </row>
    <row r="117" spans="9:9" x14ac:dyDescent="0.3">
      <c r="I117" s="19">
        <v>1</v>
      </c>
    </row>
  </sheetData>
  <mergeCells count="1">
    <mergeCell ref="O1:P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Animal_IgM_PCR_FVR_2025</vt:lpstr>
      <vt:lpstr>Human_Animal cases per Wilaya</vt:lpstr>
      <vt:lpstr>Human PCR FVR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Catherine CETRE-SOSSAH</cp:lastModifiedBy>
  <dcterms:created xsi:type="dcterms:W3CDTF">2015-06-05T18:19:34Z</dcterms:created>
  <dcterms:modified xsi:type="dcterms:W3CDTF">2026-08-10T18:57:30Z</dcterms:modified>
</cp:coreProperties>
</file>